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himanshu.t\Desktop\Forecast Mapping\Forecast samples RAMA\"/>
    </mc:Choice>
  </mc:AlternateContent>
  <xr:revisionPtr revIDLastSave="0" documentId="13_ncr:1_{CFB54925-A0C3-46CF-B97A-CEC71659A4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 Book" sheetId="1" r:id="rId1"/>
    <sheet name="Sheet4" sheetId="12" state="hidden" r:id="rId2"/>
  </sheets>
  <externalReferences>
    <externalReference r:id="rId3"/>
  </externalReferences>
  <definedNames>
    <definedName name="_xlnm._FilterDatabase" localSheetId="0" hidden="1">'Order Book'!$A$2:$BH$7</definedName>
    <definedName name="_xlnm._FilterDatabase" localSheetId="1" hidden="1">Sheet4!$A$1:$D$46</definedName>
    <definedName name="DateStamp">TEXT(TODAY(),"d-mmmm-yyyy") &amp; " " &amp; TEXT(NOW(),"h:mm AM/PM")</definedName>
    <definedName name="_xlnm.Print_Area" localSheetId="0">'Order Book'!$A$2:$AM$2</definedName>
    <definedName name="_xlnm.Print_Titles" localSheetId="0">'Order Book'!$2:$2</definedName>
    <definedName name="search_box">'[1]SUPPLY PLAN = M1-M3'!$C$1</definedName>
    <definedName name="Z_248BA4C9_9576_4C30_9439_C61A197E1602_.wvu.Cols" localSheetId="0" hidden="1">#N/A</definedName>
    <definedName name="Z_248BA4C9_9576_4C30_9439_C61A197E1602_.wvu.FilterData" localSheetId="0" hidden="1">#N/A</definedName>
    <definedName name="Z_248BA4C9_9576_4C30_9439_C61A197E1602_.wvu.PrintTitles" localSheetId="0" hidden="1">#N/A</definedName>
    <definedName name="Z_4E205FF0_FD42_44BF_B7C5_573FC6BC26F7_.wvu.Cols" localSheetId="0" hidden="1">#N/A</definedName>
    <definedName name="Z_4E205FF0_FD42_44BF_B7C5_573FC6BC26F7_.wvu.FilterData" localSheetId="0" hidden="1">#N/A</definedName>
    <definedName name="Z_4E205FF0_FD42_44BF_B7C5_573FC6BC26F7_.wvu.PrintTitles" localSheetId="0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1" l="1"/>
  <c r="AN7" i="1"/>
  <c r="AS6" i="1" l="1"/>
  <c r="AL6" i="1"/>
  <c r="AT6" i="1"/>
  <c r="AM6" i="1"/>
  <c r="AU6" i="1"/>
  <c r="AO6" i="1"/>
  <c r="AZ6" i="1"/>
  <c r="AP6" i="1"/>
  <c r="AQ6" i="1"/>
  <c r="AR6" i="1"/>
  <c r="AV6" i="1"/>
  <c r="AW6" i="1"/>
  <c r="AN6" i="1"/>
  <c r="AX6" i="1"/>
  <c r="AL4" i="1"/>
  <c r="AT4" i="1"/>
  <c r="AM4" i="1"/>
  <c r="AU4" i="1"/>
  <c r="AN4" i="1"/>
  <c r="AV4" i="1"/>
  <c r="AX4" i="1"/>
  <c r="AY4" i="1"/>
  <c r="AO4" i="1"/>
  <c r="AZ4" i="1"/>
  <c r="AP4" i="1"/>
  <c r="AQ4" i="1"/>
  <c r="AR4" i="1"/>
  <c r="AS4" i="1"/>
  <c r="AW4" i="1"/>
  <c r="AO7" i="1"/>
  <c r="AW7" i="1"/>
  <c r="AP7" i="1"/>
  <c r="AX7" i="1"/>
  <c r="AQ7" i="1"/>
  <c r="AY7" i="1"/>
  <c r="AS7" i="1"/>
  <c r="AT7" i="1"/>
  <c r="AU7" i="1"/>
  <c r="AV7" i="1"/>
  <c r="AL7" i="1"/>
  <c r="AZ7" i="1"/>
  <c r="AM7" i="1"/>
  <c r="AR3" i="1"/>
  <c r="AS3" i="1"/>
  <c r="AL3" i="1"/>
  <c r="AT3" i="1"/>
  <c r="AN3" i="1"/>
  <c r="AO3" i="1"/>
  <c r="AP3" i="1"/>
  <c r="AQ3" i="1"/>
  <c r="AU3" i="1"/>
  <c r="AM3" i="1"/>
  <c r="AW3" i="1"/>
  <c r="AX3" i="1"/>
  <c r="AY3" i="1"/>
  <c r="AV3" i="1"/>
  <c r="AZ3" i="1"/>
  <c r="AN5" i="1"/>
  <c r="AV5" i="1"/>
  <c r="AO5" i="1"/>
  <c r="AW5" i="1"/>
  <c r="AP5" i="1"/>
  <c r="AX5" i="1"/>
  <c r="AQ5" i="1"/>
  <c r="AR5" i="1"/>
  <c r="AS5" i="1"/>
  <c r="AT5" i="1"/>
  <c r="AU5" i="1"/>
  <c r="AY5" i="1"/>
  <c r="AZ5" i="1"/>
  <c r="AY6" i="1"/>
  <c r="AM5" i="1"/>
  <c r="AR7" i="1"/>
  <c r="BC5" i="1" l="1"/>
  <c r="BD5" i="1"/>
  <c r="BF5" i="1"/>
  <c r="BE5" i="1"/>
  <c r="BB1" i="1" l="1"/>
  <c r="BE3" i="1"/>
  <c r="BF3" i="1"/>
  <c r="BD3" i="1"/>
  <c r="BC3" i="1"/>
  <c r="BE4" i="1" l="1"/>
  <c r="BD4" i="1" l="1"/>
  <c r="BD6" i="1"/>
  <c r="BC6" i="1"/>
  <c r="BE6" i="1"/>
  <c r="BF6" i="1"/>
  <c r="BC4" i="1"/>
  <c r="BF4" i="1"/>
  <c r="AZ2" i="1" l="1"/>
  <c r="AY2" i="1" l="1"/>
  <c r="AX2" i="1" l="1"/>
  <c r="AS1" i="1" l="1"/>
  <c r="AM1" i="1"/>
  <c r="AU1" i="1"/>
  <c r="AP1" i="1"/>
  <c r="AZ1" i="1"/>
  <c r="AQ1" i="1"/>
  <c r="AR1" i="1"/>
  <c r="AV1" i="1"/>
  <c r="AW1" i="1"/>
  <c r="AX1" i="1"/>
  <c r="AL1" i="1"/>
  <c r="AN1" i="1"/>
  <c r="AT1" i="1"/>
  <c r="AY1" i="1"/>
  <c r="AO1" i="1"/>
  <c r="AW2" i="1" l="1"/>
  <c r="AV2" i="1" l="1"/>
  <c r="AU2" i="1" l="1"/>
  <c r="AT2" i="1" l="1"/>
  <c r="AS2" i="1" l="1"/>
  <c r="AR2" i="1" l="1"/>
  <c r="BF7" i="1" l="1"/>
  <c r="BD7" i="1"/>
  <c r="BE7" i="1"/>
  <c r="BC7" i="1"/>
  <c r="BC1" i="1" l="1"/>
  <c r="BE1" i="1"/>
  <c r="BF1" i="1"/>
  <c r="BD1" i="1"/>
  <c r="AQ2" i="1"/>
  <c r="AP2" i="1"/>
  <c r="A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Himanshu Tiwari</author>
    <author>Kaivan Shah</author>
    <author>Meenakshi Angalakuduti</author>
  </authors>
  <commentList>
    <comment ref="S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Himanshu Tiwari:</t>
        </r>
        <r>
          <rPr>
            <sz val="9"/>
            <color indexed="81"/>
            <rFont val="Tahoma"/>
            <family val="2"/>
          </rPr>
          <t xml:space="preserve">
To be delivered in April-23
</t>
        </r>
        <r>
          <rPr>
            <b/>
            <sz val="9"/>
            <color indexed="81"/>
            <rFont val="Tahoma"/>
            <family val="2"/>
          </rPr>
          <t>2172304756</t>
        </r>
        <r>
          <rPr>
            <sz val="9"/>
            <color indexed="81"/>
            <rFont val="Tahoma"/>
            <family val="2"/>
          </rPr>
          <t xml:space="preserve">
PO DD - 2023-02-20
Rate - 812,85 EUR/1.000 Piece</t>
        </r>
      </text>
    </comment>
    <comment ref="V3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Himanshu Tiwari:</t>
        </r>
        <r>
          <rPr>
            <sz val="9"/>
            <color indexed="81"/>
            <rFont val="Tahoma"/>
            <family val="2"/>
          </rPr>
          <t xml:space="preserve">
To be delivered in April-23
</t>
        </r>
        <r>
          <rPr>
            <b/>
            <sz val="9"/>
            <color indexed="81"/>
            <rFont val="Tahoma"/>
            <family val="2"/>
          </rPr>
          <t>2172304756</t>
        </r>
        <r>
          <rPr>
            <sz val="9"/>
            <color indexed="81"/>
            <rFont val="Tahoma"/>
            <family val="2"/>
          </rPr>
          <t xml:space="preserve">
PO DD - 2023-02-20
Rate - 812,85 EUR/1.000 Piece</t>
        </r>
      </text>
    </comment>
    <comment ref="W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Himanshu Tiwari:</t>
        </r>
        <r>
          <rPr>
            <sz val="9"/>
            <color indexed="81"/>
            <rFont val="Tahoma"/>
            <family val="2"/>
          </rPr>
          <t xml:space="preserve">
2172334141
PO received - 06.02.2023
PO qty - 20K
Rate - 820,14 EUR/1.000 Piece</t>
        </r>
      </text>
    </comment>
    <comment ref="X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Himanshu Tiwari:</t>
        </r>
        <r>
          <rPr>
            <sz val="9"/>
            <color indexed="81"/>
            <rFont val="Tahoma"/>
            <family val="2"/>
          </rPr>
          <t xml:space="preserve">
To be delivered in April-23
</t>
        </r>
        <r>
          <rPr>
            <b/>
            <sz val="9"/>
            <color indexed="81"/>
            <rFont val="Tahoma"/>
            <family val="2"/>
          </rPr>
          <t>2172304756</t>
        </r>
        <r>
          <rPr>
            <sz val="9"/>
            <color indexed="81"/>
            <rFont val="Tahoma"/>
            <family val="2"/>
          </rPr>
          <t xml:space="preserve">
PO DD - 2023-02-20
Rate - 812,85 EUR/1.000 Piece</t>
        </r>
      </text>
    </comment>
    <comment ref="Y3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Kaivan Shah:</t>
        </r>
        <r>
          <rPr>
            <sz val="9"/>
            <color indexed="81"/>
            <rFont val="Tahoma"/>
            <family val="2"/>
          </rPr>
          <t xml:space="preserve">
2172349375
PO date : 07-03-2023
PO qty : 20 K
Price : 820,14 EUR/1.000 Piece</t>
        </r>
      </text>
    </comment>
    <comment ref="T5" authorId="2" shapeId="0" xr:uid="{00000000-0006-0000-0000-0000D2000000}">
      <text>
        <r>
          <rPr>
            <b/>
            <sz val="9"/>
            <color indexed="81"/>
            <rFont val="Tahoma"/>
            <family val="2"/>
          </rPr>
          <t>Meenakshi Angalakuduti:</t>
        </r>
        <r>
          <rPr>
            <sz val="9"/>
            <color indexed="81"/>
            <rFont val="Tahoma"/>
            <family val="2"/>
          </rPr>
          <t xml:space="preserve">
146371</t>
        </r>
      </text>
    </comment>
    <comment ref="Y5" authorId="2" shapeId="0" xr:uid="{00000000-0006-0000-0000-0000D3000000}">
      <text>
        <r>
          <rPr>
            <b/>
            <sz val="9"/>
            <color indexed="81"/>
            <rFont val="Tahoma"/>
            <family val="2"/>
          </rPr>
          <t>Meenakshi Angalakuduti:</t>
        </r>
        <r>
          <rPr>
            <sz val="9"/>
            <color indexed="81"/>
            <rFont val="Tahoma"/>
            <family val="2"/>
          </rPr>
          <t xml:space="preserve">
149440</t>
        </r>
      </text>
    </comment>
    <comment ref="S7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Himanshu Tiwari: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4500290440</t>
        </r>
        <r>
          <rPr>
            <sz val="9"/>
            <color indexed="81"/>
            <rFont val="Tahoma"/>
            <family val="2"/>
          </rPr>
          <t xml:space="preserve">
PO received - 21.01.2023
Rate  151
</t>
        </r>
      </text>
    </comment>
  </commentList>
</comments>
</file>

<file path=xl/sharedStrings.xml><?xml version="1.0" encoding="utf-8"?>
<sst xmlns="http://schemas.openxmlformats.org/spreadsheetml/2006/main" count="300" uniqueCount="150">
  <si>
    <t>Customer</t>
  </si>
  <si>
    <t>FGCode</t>
  </si>
  <si>
    <t>Product</t>
  </si>
  <si>
    <t>STDBatchSize</t>
  </si>
  <si>
    <t>Country</t>
  </si>
  <si>
    <t>PackSize(gm/ml)</t>
  </si>
  <si>
    <t>TP</t>
  </si>
  <si>
    <t>TPForeignCurr</t>
  </si>
  <si>
    <t>Currency</t>
  </si>
  <si>
    <t>BulkCode</t>
  </si>
  <si>
    <t>STDBulk(Kg)</t>
  </si>
  <si>
    <t>Qty/Pallet</t>
  </si>
  <si>
    <t>THYd</t>
  </si>
  <si>
    <t>Destination</t>
  </si>
  <si>
    <t>Container Type</t>
  </si>
  <si>
    <t>ShelfLife</t>
  </si>
  <si>
    <t>LastBatchM-1</t>
  </si>
  <si>
    <t>CFprev</t>
  </si>
  <si>
    <t>M-1</t>
  </si>
  <si>
    <t>LastBatch</t>
  </si>
  <si>
    <t>CF</t>
  </si>
  <si>
    <t>M0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</si>
  <si>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</si>
  <si>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</si>
  <si>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</si>
  <si>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</si>
  <si>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</si>
  <si>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</si>
  <si>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</si>
  <si>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</si>
  <si>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</si>
  <si>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xx</t>
  </si>
  <si>
    <t>CarryFwd</t>
  </si>
  <si>
    <t>PLD</t>
  </si>
  <si>
    <t>NA</t>
  </si>
  <si>
    <t>Janssen</t>
  </si>
  <si>
    <t>MYLAN</t>
  </si>
  <si>
    <t>Exzell</t>
  </si>
  <si>
    <t>Relonchem</t>
  </si>
  <si>
    <t>SHARDMAN</t>
  </si>
  <si>
    <t>ORGANOSYN</t>
  </si>
  <si>
    <t>Alliance Pharma</t>
  </si>
  <si>
    <t>Apotex</t>
  </si>
  <si>
    <t>ALEMBIC</t>
  </si>
  <si>
    <t>ALEOR</t>
  </si>
  <si>
    <t>Glenmark India</t>
  </si>
  <si>
    <t>Yes</t>
  </si>
  <si>
    <t>Revenue</t>
  </si>
  <si>
    <t>ISDIN</t>
  </si>
  <si>
    <t>BAYER</t>
  </si>
  <si>
    <t>Forecast</t>
  </si>
  <si>
    <t>Morningside</t>
  </si>
  <si>
    <t>Galderma</t>
  </si>
  <si>
    <t>Curatio</t>
  </si>
  <si>
    <t>Remedia</t>
  </si>
  <si>
    <t>DRL</t>
  </si>
  <si>
    <t>ECOPHARM</t>
  </si>
  <si>
    <t>S&amp;N</t>
  </si>
  <si>
    <t>Polpharma</t>
  </si>
  <si>
    <t>GSK</t>
  </si>
  <si>
    <t>MENARINI</t>
  </si>
  <si>
    <t>Microlabs</t>
  </si>
  <si>
    <t>Novartis</t>
  </si>
  <si>
    <t>Oaknet</t>
  </si>
  <si>
    <t>Rising Pharma</t>
  </si>
  <si>
    <t>SANOFI</t>
  </si>
  <si>
    <t>SUNPHARMA</t>
  </si>
  <si>
    <t>BIOGARAN</t>
  </si>
  <si>
    <t>NO</t>
  </si>
  <si>
    <t>Customer Name</t>
  </si>
  <si>
    <t>BAILLEUL</t>
  </si>
  <si>
    <t>MA</t>
  </si>
  <si>
    <t>Mankind export</t>
  </si>
  <si>
    <t>AJ</t>
  </si>
  <si>
    <t>HT</t>
  </si>
  <si>
    <t>Torrent</t>
  </si>
  <si>
    <t>Mankind Domestic</t>
  </si>
  <si>
    <t>Noumed</t>
  </si>
  <si>
    <t>Delpharm</t>
  </si>
  <si>
    <t>SPOC 1</t>
  </si>
  <si>
    <t>Exp/Dom</t>
  </si>
  <si>
    <t>Rev. SPOC</t>
  </si>
  <si>
    <t>Aniket</t>
  </si>
  <si>
    <t>P2P Domestic</t>
  </si>
  <si>
    <t>P2P Export</t>
  </si>
  <si>
    <t>Shaunak</t>
  </si>
  <si>
    <t>DRL (US)</t>
  </si>
  <si>
    <t>Encube US</t>
  </si>
  <si>
    <t>Bhavin</t>
  </si>
  <si>
    <t>Galderma Exports</t>
  </si>
  <si>
    <t>Mayne Pharma</t>
  </si>
  <si>
    <t>Reckitt Benkiser</t>
  </si>
  <si>
    <t>domestic</t>
  </si>
  <si>
    <t>Sola Pharmaceuticals</t>
  </si>
  <si>
    <t>Cipla</t>
  </si>
  <si>
    <t>New</t>
  </si>
  <si>
    <t>Biocon</t>
  </si>
  <si>
    <t xml:space="preserve">Inventory </t>
  </si>
  <si>
    <t>Artworks</t>
  </si>
  <si>
    <t>No of SKUs</t>
  </si>
  <si>
    <t>Only Pos with proper lead times</t>
  </si>
  <si>
    <t>No open orders</t>
  </si>
  <si>
    <t>Current status</t>
  </si>
  <si>
    <t xml:space="preserve">No artworks(Sahre artworks with customer and get confirmation after recepict of new PO) </t>
  </si>
  <si>
    <t>Tubes air cost recovery is pending invoice raised</t>
  </si>
  <si>
    <t>Forecast  Pos with proper lead times</t>
  </si>
  <si>
    <t>Imp notes</t>
  </si>
  <si>
    <t>PO need to check against customer FG codes</t>
  </si>
  <si>
    <t>Pos for QR and forecast as well need to compare forecast with PO</t>
  </si>
  <si>
    <t>No artwork change</t>
  </si>
  <si>
    <t>No inventory old inventory with Aniket</t>
  </si>
  <si>
    <t>3 months before need to take</t>
  </si>
  <si>
    <t>Only Pos need to follow up for July</t>
  </si>
  <si>
    <t>Karine Rocher &lt;orders@bailleul.com&gt;</t>
  </si>
  <si>
    <t>Prasad Sagdeo &lt;prasad@curatiohealthcare.com&gt;,  murali@curatiohealthcare.com</t>
  </si>
  <si>
    <t>Raquel Alonso &lt;raquel.alonso@isdin.com&gt;</t>
  </si>
  <si>
    <t>Lipiec Ireneusz &lt;ireneusz.lipiec@polpharma.com&gt;</t>
  </si>
  <si>
    <t>Lalana Sansare &lt;Lalana.Sansare@sunpharma.com&gt;</t>
  </si>
  <si>
    <t>M1</t>
  </si>
  <si>
    <t>M11</t>
  </si>
  <si>
    <t>M12</t>
  </si>
  <si>
    <t>CustomerFG code</t>
  </si>
  <si>
    <t>SPOC</t>
  </si>
  <si>
    <t>Q1</t>
  </si>
  <si>
    <t>Q2</t>
  </si>
  <si>
    <t>Q3</t>
  </si>
  <si>
    <t>Q4</t>
  </si>
  <si>
    <t>TORRENT</t>
  </si>
  <si>
    <t>5515989</t>
  </si>
  <si>
    <t>Himanshu</t>
  </si>
  <si>
    <t>3EB05</t>
  </si>
  <si>
    <t>Exp CF to May</t>
  </si>
  <si>
    <t>3EB06</t>
  </si>
  <si>
    <t>Exp_CF to May</t>
  </si>
  <si>
    <t>FG Stock</t>
  </si>
  <si>
    <t>NISE SPRAY</t>
  </si>
  <si>
    <t>445400</t>
  </si>
  <si>
    <t>NON-REEFER</t>
  </si>
  <si>
    <t>Durgesh</t>
  </si>
  <si>
    <t>Kaivan</t>
  </si>
  <si>
    <t>23CN05B</t>
  </si>
  <si>
    <t>FG004493</t>
  </si>
  <si>
    <t>Duncan, SC</t>
  </si>
  <si>
    <t>E83RA</t>
  </si>
  <si>
    <t>3GQ01</t>
  </si>
  <si>
    <t>Meenakshi</t>
  </si>
  <si>
    <t>CLOTRI</t>
  </si>
  <si>
    <t>UNICARE LOTION</t>
  </si>
  <si>
    <t>ACYCLOVIR OINTMENT USP 5% 30G</t>
  </si>
  <si>
    <t>Canesten 1% Athletes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</si>
</sst>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[$₹-4009]\ * #,##0.00_ ;_ [$₹-4009]\ * \-#,##0.00_ ;_ [$₹-4009]\ * &quot;-&quot;??_ ;_ @_ 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4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rgb="FF000000"/>
      <name val="Calibri Light"/>
      <family val="2"/>
    </font>
    <font>
      <sz val="11"/>
      <color rgb="FF000000"/>
      <name val="Calibri"/>
      <family val="2"/>
    </font>
    <font>
      <b/>
      <sz val="11"/>
      <color rgb="FF000000"/>
      <name val="Calibri Light"/>
      <family val="2"/>
    </font>
    <font>
      <b/>
      <sz val="11"/>
      <color rgb="FF000000"/>
      <name val="Calibri"/>
      <family val="2"/>
    </font>
    <font>
      <b/>
      <i/>
      <sz val="9"/>
      <color theme="1"/>
      <name val="Arial"/>
      <family val="2"/>
    </font>
    <font>
      <i/>
      <sz val="9"/>
      <color rgb="FF000000"/>
      <name val="Arial"/>
      <family val="2"/>
    </font>
    <font>
      <sz val="10"/>
      <name val="Trebuchet MS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gray0625"/>
    </fill>
    <fill>
      <patternFill patternType="solid">
        <fgColor theme="1" tint="0.34998626667073579"/>
        <bgColor indexed="64"/>
      </patternFill>
    </fill>
    <fill>
      <patternFill patternType="gray0625">
        <bgColor theme="1" tint="0.3499862666707357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16" fillId="0" borderId="0"/>
  </cellStyleXfs>
  <cellXfs count="49">
    <xf numFmtId="0" fontId="0" fillId="0" borderId="0" xfId="0"/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6" borderId="1" xfId="0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2" fillId="0" borderId="4" xfId="2" applyNumberFormat="1" applyFont="1" applyFill="1" applyBorder="1" applyAlignment="1" applyProtection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/>
    </xf>
    <xf numFmtId="17" fontId="2" fillId="0" borderId="4" xfId="0" applyNumberFormat="1" applyFont="1" applyBorder="1" applyAlignment="1">
      <alignment horizontal="center" vertical="center"/>
    </xf>
    <xf numFmtId="17" fontId="2" fillId="2" borderId="5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5" fillId="3" borderId="1" xfId="0" applyNumberFormat="1" applyFont="1" applyFill="1" applyBorder="1" applyAlignment="1">
      <alignment horizontal="center" vertical="center" wrapText="1"/>
    </xf>
    <xf numFmtId="17" fontId="5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" fontId="17" fillId="6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/>
    </xf>
  </cellXfs>
  <cellStyles count="6">
    <cellStyle name="Comma" xfId="1" builtinId="3"/>
    <cellStyle name="Comma 2" xfId="3" xr:uid="{00000000-0005-0000-0000-000001000000}"/>
    <cellStyle name="Normal" xfId="0" builtinId="0"/>
    <cellStyle name="Normal 3" xfId="5" xr:uid="{00000000-0005-0000-0000-000003000000}"/>
    <cellStyle name="Normal 3 2" xfId="4" xr:uid="{00000000-0005-0000-0000-000004000000}"/>
    <cellStyle name="Percent" xfId="2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21\Supply_Chain_Management\Users\shaunak.l\Desktop\RCCP%20SEPT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 List"/>
      <sheetName val="Summary"/>
      <sheetName val="Plan Summary Sheet"/>
      <sheetName val="M1-PLAN SUMMARY "/>
      <sheetName val="SUPPLY PLAN = M1-M3"/>
      <sheetName val="Exchange Rate"/>
      <sheetName val="Capacity Utilization = M1-M3"/>
      <sheetName val="Bulk MFG - Utilization-MFG1"/>
      <sheetName val="Art Work"/>
      <sheetName val="Serialization Pla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7"/>
  <sheetViews>
    <sheetView tabSelected="1" zoomScale="95" zoomScaleNormal="90" workbookViewId="0">
      <pane xSplit="3" ySplit="2" topLeftCell="D3" activePane="bottomRight" state="frozen"/>
      <selection activeCell="H10" sqref="H10"/>
      <selection pane="topRight" activeCell="H10" sqref="H10"/>
      <selection pane="bottomLeft" activeCell="H10" sqref="H10"/>
      <selection pane="bottomRight" activeCell="A7" sqref="A7"/>
    </sheetView>
  </sheetViews>
  <sheetFormatPr defaultColWidth="8.7109375" defaultRowHeight="12" x14ac:dyDescent="0.25"/>
  <cols>
    <col min="1" max="1" width="20" style="36" bestFit="1" customWidth="1"/>
    <col min="2" max="2" width="12.140625" style="36" customWidth="1"/>
    <col min="3" max="3" width="37.140625" style="36" customWidth="1"/>
    <col min="4" max="4" width="14.7109375" style="36" customWidth="1"/>
    <col min="5" max="5" width="15" style="36" customWidth="1"/>
    <col min="6" max="6" width="10.7109375" style="36" customWidth="1"/>
    <col min="7" max="7" width="14.28515625" style="36" customWidth="1"/>
    <col min="8" max="8" width="9.5703125" style="36" customWidth="1"/>
    <col min="9" max="9" width="15" style="36" customWidth="1"/>
    <col min="10" max="10" width="14.28515625" style="36" customWidth="1"/>
    <col min="11" max="11" width="11" style="36" customWidth="1"/>
    <col min="12" max="12" width="13.140625" style="36" customWidth="1"/>
    <col min="13" max="13" width="12.85546875" style="36" customWidth="1"/>
    <col min="14" max="14" width="7.5703125" style="36" customWidth="1"/>
    <col min="15" max="15" width="12.7109375" style="36" customWidth="1"/>
    <col min="16" max="16" width="15.85546875" style="36" customWidth="1"/>
    <col min="17" max="17" width="10.5703125" style="36" customWidth="1"/>
    <col min="18" max="18" width="14.85546875" style="36" customWidth="1"/>
    <col min="19" max="19" width="9.7109375" style="36" customWidth="1"/>
    <col min="20" max="20" width="9.28515625" style="36" customWidth="1"/>
    <col min="21" max="21" width="14.7109375" style="36" customWidth="1"/>
    <col min="22" max="22" width="9.28515625" style="36" customWidth="1"/>
    <col min="23" max="23" width="12.28515625" style="36" customWidth="1"/>
    <col min="24" max="24" width="12.7109375" style="36" customWidth="1"/>
    <col min="25" max="27" width="10.7109375" style="36" customWidth="1"/>
    <col min="28" max="28" width="9.5703125" style="36" customWidth="1"/>
    <col min="29" max="29" width="10.7109375" style="36" customWidth="1"/>
    <col min="30" max="30" width="8.140625" style="36" customWidth="1"/>
    <col min="31" max="32" width="10.7109375" style="36" customWidth="1"/>
    <col min="33" max="36" width="8.140625" style="36" customWidth="1"/>
    <col min="37" max="37" width="9" style="36" customWidth="1"/>
    <col min="38" max="38" width="11" style="36" customWidth="1"/>
    <col min="39" max="39" width="8.7109375" style="36" customWidth="1"/>
    <col min="40" max="40" width="17.28515625" style="36" customWidth="1"/>
    <col min="41" max="52" width="8.85546875" style="36" customWidth="1"/>
    <col min="53" max="53" width="9.7109375" style="36" customWidth="1"/>
    <col min="54" max="54" width="13.85546875" style="36" customWidth="1"/>
    <col min="55" max="56" width="8.7109375" style="36" customWidth="1"/>
    <col min="57" max="58" width="8.42578125" style="36" customWidth="1"/>
    <col min="59" max="16384" width="8.7109375" style="36"/>
  </cols>
  <sheetData>
    <row r="1" spans="1:58" ht="12" customHeight="1" x14ac:dyDescent="0.25">
      <c r="A1" s="26"/>
      <c r="B1" s="27"/>
      <c r="C1" s="28"/>
      <c r="D1" s="29"/>
      <c r="E1" s="29"/>
      <c r="F1" s="29"/>
      <c r="G1" s="29"/>
      <c r="H1" s="29"/>
      <c r="I1" s="29"/>
      <c r="J1" s="30"/>
      <c r="K1" s="30"/>
      <c r="L1" s="29"/>
      <c r="M1" s="29"/>
      <c r="N1" s="29"/>
      <c r="O1" s="29"/>
      <c r="P1" s="29"/>
      <c r="Q1" s="29"/>
      <c r="R1" s="29"/>
      <c r="S1" s="31"/>
      <c r="T1" s="32">
        <v>44986</v>
      </c>
      <c r="U1" s="26"/>
      <c r="V1" s="26"/>
      <c r="W1" s="32">
        <v>45017</v>
      </c>
      <c r="X1" s="33"/>
      <c r="Y1" s="32">
        <v>45047</v>
      </c>
      <c r="Z1" s="32">
        <v>45078</v>
      </c>
      <c r="AA1" s="32">
        <v>45108</v>
      </c>
      <c r="AB1" s="32">
        <v>45139</v>
      </c>
      <c r="AC1" s="32">
        <v>45170</v>
      </c>
      <c r="AD1" s="32">
        <v>45200</v>
      </c>
      <c r="AE1" s="32">
        <v>45231</v>
      </c>
      <c r="AF1" s="32">
        <v>45261</v>
      </c>
      <c r="AG1" s="32">
        <v>45292</v>
      </c>
      <c r="AH1" s="32">
        <v>45323</v>
      </c>
      <c r="AI1" s="32">
        <v>45352</v>
      </c>
      <c r="AJ1" s="32">
        <v>45383</v>
      </c>
      <c r="AK1" s="34" t="s">
        <v>47</v>
      </c>
      <c r="AL1" s="35">
        <f>SUBTOTAL(9,AL3:AL7)</f>
        <v>0</v>
      </c>
      <c r="AM1" s="35">
        <f>SUBTOTAL(9,AM3:AM7)</f>
        <v>0</v>
      </c>
      <c r="AN1" s="35">
        <f>SUBTOTAL(9,AN3:AN7)</f>
        <v>0</v>
      </c>
      <c r="AO1" s="35">
        <f>SUBTOTAL(9,AO3:AO7)</f>
        <v>0</v>
      </c>
      <c r="AP1" s="35">
        <f>SUBTOTAL(9,AP3:AP7)</f>
        <v>0</v>
      </c>
      <c r="AQ1" s="35">
        <f>SUBTOTAL(9,AQ3:AQ7)</f>
        <v>0</v>
      </c>
      <c r="AR1" s="35">
        <f>SUBTOTAL(9,AR3:AR7)</f>
        <v>0</v>
      </c>
      <c r="AS1" s="35">
        <f>SUBTOTAL(9,AS3:AS7)</f>
        <v>0</v>
      </c>
      <c r="AT1" s="35">
        <f>SUBTOTAL(9,AT3:AT7)</f>
        <v>0</v>
      </c>
      <c r="AU1" s="35">
        <f>SUBTOTAL(9,AU3:AU7)</f>
        <v>0</v>
      </c>
      <c r="AV1" s="35">
        <f>SUBTOTAL(9,AV3:AV7)</f>
        <v>0</v>
      </c>
      <c r="AW1" s="35">
        <f>SUBTOTAL(9,AW3:AW7)</f>
        <v>0</v>
      </c>
      <c r="AX1" s="35">
        <f>SUBTOTAL(9,AX3:AX7)</f>
        <v>0</v>
      </c>
      <c r="AY1" s="35">
        <f>SUBTOTAL(9,AY3:AY7)</f>
        <v>0</v>
      </c>
      <c r="AZ1" s="35">
        <f>SUBTOTAL(9,AZ3:AZ7)</f>
        <v>0</v>
      </c>
      <c r="BB1" s="35">
        <f>SUBTOTAL(9,BB3:BB7)</f>
        <v>0</v>
      </c>
      <c r="BC1" s="35">
        <f>SUBTOTAL(9,BC3:BC7)</f>
        <v>0</v>
      </c>
      <c r="BD1" s="35">
        <f>SUBTOTAL(9,BD3:BD7)</f>
        <v>0</v>
      </c>
      <c r="BE1" s="35">
        <f>SUBTOTAL(9,BE3:BE7)</f>
        <v>0</v>
      </c>
      <c r="BF1" s="35">
        <f>SUBTOTAL(9,BF3:BF7)</f>
        <v>0</v>
      </c>
    </row>
    <row r="2" spans="1:58" s="47" customFormat="1" ht="12" customHeight="1" x14ac:dyDescent="0.25">
      <c r="A2" s="2" t="s">
        <v>0</v>
      </c>
      <c r="B2" s="2" t="s">
        <v>1</v>
      </c>
      <c r="C2" s="2" t="s">
        <v>2</v>
      </c>
      <c r="D2" s="2" t="s">
        <v>121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37" t="s">
        <v>16</v>
      </c>
      <c r="S2" s="37" t="s">
        <v>17</v>
      </c>
      <c r="T2" s="37" t="s">
        <v>18</v>
      </c>
      <c r="U2" s="37" t="s">
        <v>19</v>
      </c>
      <c r="V2" s="37" t="s">
        <v>20</v>
      </c>
      <c r="W2" s="37" t="s">
        <v>21</v>
      </c>
      <c r="X2" s="38" t="s">
        <v>131</v>
      </c>
      <c r="Y2" s="37" t="s">
        <v>118</v>
      </c>
      <c r="Z2" s="37" t="s">
        <v>22</v>
      </c>
      <c r="AA2" s="37" t="s">
        <v>23</v>
      </c>
      <c r="AB2" s="37" t="s">
        <v>24</v>
      </c>
      <c r="AC2" s="37" t="s">
        <v>25</v>
      </c>
      <c r="AD2" s="37" t="s">
        <v>26</v>
      </c>
      <c r="AE2" s="37" t="s">
        <v>27</v>
      </c>
      <c r="AF2" s="37" t="s">
        <v>28</v>
      </c>
      <c r="AG2" s="37" t="s">
        <v>29</v>
      </c>
      <c r="AH2" s="37" t="s">
        <v>30</v>
      </c>
      <c r="AI2" s="37" t="s">
        <v>119</v>
      </c>
      <c r="AJ2" s="37" t="s">
        <v>120</v>
      </c>
      <c r="AK2" s="37" t="s">
        <v>31</v>
      </c>
      <c r="AL2" s="37" t="s">
        <v>32</v>
      </c>
      <c r="AM2" s="37">
        <v>45017</v>
      </c>
      <c r="AN2" s="37" t="s">
        <v>133</v>
      </c>
      <c r="AO2" s="37">
        <f t="shared" ref="AO2:AZ2" si="0">Y1</f>
        <v>45047</v>
      </c>
      <c r="AP2" s="37">
        <f t="shared" si="0"/>
        <v>45078</v>
      </c>
      <c r="AQ2" s="37">
        <f t="shared" si="0"/>
        <v>45108</v>
      </c>
      <c r="AR2" s="37">
        <f t="shared" si="0"/>
        <v>45139</v>
      </c>
      <c r="AS2" s="37">
        <f t="shared" si="0"/>
        <v>45170</v>
      </c>
      <c r="AT2" s="37">
        <f t="shared" si="0"/>
        <v>45200</v>
      </c>
      <c r="AU2" s="37">
        <f t="shared" si="0"/>
        <v>45231</v>
      </c>
      <c r="AV2" s="37">
        <f t="shared" si="0"/>
        <v>45261</v>
      </c>
      <c r="AW2" s="37">
        <f t="shared" si="0"/>
        <v>45292</v>
      </c>
      <c r="AX2" s="37">
        <f t="shared" si="0"/>
        <v>45323</v>
      </c>
      <c r="AY2" s="37">
        <f t="shared" si="0"/>
        <v>45352</v>
      </c>
      <c r="AZ2" s="37">
        <f t="shared" si="0"/>
        <v>45383</v>
      </c>
      <c r="BA2" s="37" t="s">
        <v>122</v>
      </c>
      <c r="BB2" s="46" t="s">
        <v>134</v>
      </c>
      <c r="BC2" s="37" t="s">
        <v>123</v>
      </c>
      <c r="BD2" s="37" t="s">
        <v>124</v>
      </c>
      <c r="BE2" s="37" t="s">
        <v>125</v>
      </c>
      <c r="BF2" s="37" t="s">
        <v>126</v>
      </c>
    </row>
    <row r="3" spans="1:58" ht="14.45" customHeight="1" x14ac:dyDescent="0.25">
      <c r="A3" s="17" t="s">
        <v>49</v>
      </c>
      <c r="B3" s="17">
        <v>400841</v>
      </c>
      <c r="C3" s="3" t="s">
        <v>149</v>
      </c>
      <c r="D3" s="17">
        <v>80620160</v>
      </c>
      <c r="E3" s="17">
        <v>20000</v>
      </c>
      <c r="F3" s="17"/>
      <c r="G3" s="17">
        <v>50</v>
      </c>
      <c r="H3" s="40"/>
      <c r="I3" s="17"/>
      <c r="J3" s="21"/>
      <c r="K3" s="22">
        <v>300333</v>
      </c>
      <c r="L3" s="17">
        <v>1000</v>
      </c>
      <c r="M3" s="17">
        <v>2000</v>
      </c>
      <c r="N3" s="23">
        <v>0.95</v>
      </c>
      <c r="O3" s="17" t="s">
        <v>34</v>
      </c>
      <c r="P3" s="17" t="s">
        <v>34</v>
      </c>
      <c r="Q3" s="17">
        <v>48</v>
      </c>
      <c r="R3" s="17" t="s">
        <v>140</v>
      </c>
      <c r="S3" s="17">
        <v>7610</v>
      </c>
      <c r="T3" s="19">
        <v>0</v>
      </c>
      <c r="U3" s="17" t="s">
        <v>140</v>
      </c>
      <c r="V3" s="17">
        <v>7610</v>
      </c>
      <c r="W3" s="19">
        <v>20000</v>
      </c>
      <c r="X3" s="17">
        <v>27610</v>
      </c>
      <c r="Y3" s="19">
        <v>20000</v>
      </c>
      <c r="Z3" s="19">
        <v>20000</v>
      </c>
      <c r="AA3" s="20">
        <v>20000</v>
      </c>
      <c r="AB3" s="20">
        <v>20000</v>
      </c>
      <c r="AC3" s="20">
        <v>0</v>
      </c>
      <c r="AD3" s="20">
        <v>20000</v>
      </c>
      <c r="AE3" s="20">
        <v>0</v>
      </c>
      <c r="AF3" s="20">
        <v>20000</v>
      </c>
      <c r="AG3" s="20">
        <v>20000</v>
      </c>
      <c r="AH3" s="20">
        <v>0</v>
      </c>
      <c r="AI3" s="20">
        <v>0</v>
      </c>
      <c r="AJ3" s="20">
        <v>20000</v>
      </c>
      <c r="AK3" s="18" t="s">
        <v>31</v>
      </c>
      <c r="AL3" s="24">
        <f>V3*$H3*$N3/10^7</f>
        <v>0</v>
      </c>
      <c r="AM3" s="24">
        <f>W3*$H3*$N3/10^7</f>
        <v>0</v>
      </c>
      <c r="AN3" s="24">
        <f>X3*$H3*$N3/10^7</f>
        <v>0</v>
      </c>
      <c r="AO3" s="24">
        <f>Y3*$H3*$N3/10^7</f>
        <v>0</v>
      </c>
      <c r="AP3" s="24">
        <f>Z3*$H3*$N3/10^7</f>
        <v>0</v>
      </c>
      <c r="AQ3" s="24">
        <f>AA3*$H3*$N3/10^7</f>
        <v>0</v>
      </c>
      <c r="AR3" s="24">
        <f>AB3*$H3*$N3/10^7</f>
        <v>0</v>
      </c>
      <c r="AS3" s="24">
        <f>AC3*$H3*$N3/10^7</f>
        <v>0</v>
      </c>
      <c r="AT3" s="24">
        <f>AD3*$H3*$N3/10^7</f>
        <v>0</v>
      </c>
      <c r="AU3" s="24">
        <f>AE3*$H3*$N3/10^7</f>
        <v>0</v>
      </c>
      <c r="AV3" s="24">
        <f>AF3*$H3*$N3/10^7</f>
        <v>0</v>
      </c>
      <c r="AW3" s="24">
        <f>AG3*$H3*$N3/10^7</f>
        <v>0</v>
      </c>
      <c r="AX3" s="24">
        <f>AH3*$H3*$N3/10^7</f>
        <v>0</v>
      </c>
      <c r="AY3" s="24">
        <f>AI3*$H3*$N3/10^7</f>
        <v>0</v>
      </c>
      <c r="AZ3" s="24">
        <f>AJ3*$H3*$N3/10^7</f>
        <v>0</v>
      </c>
      <c r="BA3" s="17" t="s">
        <v>139</v>
      </c>
      <c r="BB3" s="41">
        <v>0</v>
      </c>
      <c r="BC3" s="21">
        <f t="shared" ref="BC3:BC4" si="1">AL3+AM3+AO3+AP3+BB3</f>
        <v>0</v>
      </c>
      <c r="BD3" s="21">
        <f t="shared" ref="BD3:BD4" si="2">AQ3+AR3+AS3</f>
        <v>0</v>
      </c>
      <c r="BE3" s="21">
        <f t="shared" ref="BE3:BE4" si="3">AT3+AU3+AV3</f>
        <v>0</v>
      </c>
      <c r="BF3" s="21">
        <f t="shared" ref="BF3:BF4" si="4">AW3+AX3+AY3</f>
        <v>0</v>
      </c>
    </row>
    <row r="4" spans="1:58" x14ac:dyDescent="0.25">
      <c r="A4" s="17" t="s">
        <v>55</v>
      </c>
      <c r="B4" s="45">
        <v>401159</v>
      </c>
      <c r="C4" s="3" t="s">
        <v>135</v>
      </c>
      <c r="D4" s="17" t="s">
        <v>34</v>
      </c>
      <c r="E4" s="17">
        <v>5714</v>
      </c>
      <c r="F4" s="17"/>
      <c r="G4" s="17">
        <v>35</v>
      </c>
      <c r="H4" s="40"/>
      <c r="I4" s="21"/>
      <c r="J4" s="21"/>
      <c r="K4" s="22">
        <v>300527</v>
      </c>
      <c r="L4" s="17">
        <v>200</v>
      </c>
      <c r="M4" s="17">
        <v>0</v>
      </c>
      <c r="N4" s="23">
        <v>0.95</v>
      </c>
      <c r="O4" s="17" t="s">
        <v>34</v>
      </c>
      <c r="P4" s="17" t="s">
        <v>34</v>
      </c>
      <c r="Q4" s="17">
        <v>0</v>
      </c>
      <c r="R4" s="17" t="s">
        <v>34</v>
      </c>
      <c r="S4" s="20">
        <v>0</v>
      </c>
      <c r="T4" s="20">
        <v>0</v>
      </c>
      <c r="U4" s="17" t="s">
        <v>34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17">
        <v>0</v>
      </c>
      <c r="AH4" s="17">
        <v>0</v>
      </c>
      <c r="AI4" s="17">
        <v>0</v>
      </c>
      <c r="AJ4" s="17">
        <v>0</v>
      </c>
      <c r="AK4" s="18" t="s">
        <v>31</v>
      </c>
      <c r="AL4" s="24">
        <f>V4*$H4*$N4/10^7</f>
        <v>0</v>
      </c>
      <c r="AM4" s="24">
        <f>W4*$H4*$N4/10^7</f>
        <v>0</v>
      </c>
      <c r="AN4" s="24">
        <f>X4*$H4*$N4/10^7</f>
        <v>0</v>
      </c>
      <c r="AO4" s="24">
        <f>Y4*$H4*$N4/10^7</f>
        <v>0</v>
      </c>
      <c r="AP4" s="24">
        <f>Z4*$H4*$N4/10^7</f>
        <v>0</v>
      </c>
      <c r="AQ4" s="24">
        <f>AA4*$H4*$N4/10^7</f>
        <v>0</v>
      </c>
      <c r="AR4" s="24">
        <f>AB4*$H4*$N4/10^7</f>
        <v>0</v>
      </c>
      <c r="AS4" s="24">
        <f>AC4*$H4*$N4/10^7</f>
        <v>0</v>
      </c>
      <c r="AT4" s="24">
        <f>AD4*$H4*$N4/10^7</f>
        <v>0</v>
      </c>
      <c r="AU4" s="24">
        <f>AE4*$H4*$N4/10^7</f>
        <v>0</v>
      </c>
      <c r="AV4" s="24">
        <f>AF4*$H4*$N4/10^7</f>
        <v>0</v>
      </c>
      <c r="AW4" s="24">
        <f>AG4*$H4*$N4/10^7</f>
        <v>0</v>
      </c>
      <c r="AX4" s="24">
        <f>AH4*$H4*$N4/10^7</f>
        <v>0</v>
      </c>
      <c r="AY4" s="24">
        <f>AI4*$H4*$N4/10^7</f>
        <v>0</v>
      </c>
      <c r="AZ4" s="24">
        <f>AJ4*$H4*$N4/10^7</f>
        <v>0</v>
      </c>
      <c r="BA4" s="17" t="s">
        <v>138</v>
      </c>
      <c r="BB4" s="41">
        <v>0</v>
      </c>
      <c r="BC4" s="21">
        <f t="shared" si="1"/>
        <v>0</v>
      </c>
      <c r="BD4" s="21">
        <f t="shared" si="2"/>
        <v>0</v>
      </c>
      <c r="BE4" s="21">
        <f t="shared" si="3"/>
        <v>0</v>
      </c>
      <c r="BF4" s="21">
        <f t="shared" si="4"/>
        <v>0</v>
      </c>
    </row>
    <row r="5" spans="1:58" ht="15" customHeight="1" x14ac:dyDescent="0.25">
      <c r="A5" s="39" t="s">
        <v>33</v>
      </c>
      <c r="B5" s="39">
        <v>401168</v>
      </c>
      <c r="C5" s="25" t="s">
        <v>146</v>
      </c>
      <c r="D5" s="17" t="s">
        <v>141</v>
      </c>
      <c r="E5" s="17">
        <v>43956</v>
      </c>
      <c r="F5" s="17"/>
      <c r="G5" s="17">
        <v>45.5</v>
      </c>
      <c r="H5" s="40"/>
      <c r="I5" s="39"/>
      <c r="J5" s="21"/>
      <c r="K5" s="22">
        <v>300482</v>
      </c>
      <c r="L5" s="17">
        <v>2000</v>
      </c>
      <c r="M5" s="17">
        <v>1260</v>
      </c>
      <c r="N5" s="23">
        <v>0.95</v>
      </c>
      <c r="O5" s="17" t="s">
        <v>142</v>
      </c>
      <c r="P5" s="17" t="s">
        <v>34</v>
      </c>
      <c r="Q5" s="17">
        <v>24</v>
      </c>
      <c r="R5" s="39" t="s">
        <v>143</v>
      </c>
      <c r="S5" s="42">
        <v>0</v>
      </c>
      <c r="T5" s="42">
        <v>24080</v>
      </c>
      <c r="U5" s="39" t="s">
        <v>144</v>
      </c>
      <c r="V5" s="42">
        <v>0</v>
      </c>
      <c r="W5" s="42">
        <v>0</v>
      </c>
      <c r="X5" s="42">
        <v>0</v>
      </c>
      <c r="Y5" s="43">
        <v>15000</v>
      </c>
      <c r="Z5" s="48">
        <v>0</v>
      </c>
      <c r="AA5" s="42">
        <v>0</v>
      </c>
      <c r="AB5" s="42">
        <v>15000</v>
      </c>
      <c r="AC5" s="42">
        <v>0</v>
      </c>
      <c r="AD5" s="42">
        <v>16000</v>
      </c>
      <c r="AE5" s="42">
        <v>0</v>
      </c>
      <c r="AF5" s="42">
        <v>20000</v>
      </c>
      <c r="AG5" s="44">
        <v>16000</v>
      </c>
      <c r="AH5" s="42">
        <v>0</v>
      </c>
      <c r="AI5" s="42">
        <v>0</v>
      </c>
      <c r="AJ5" s="42">
        <v>0</v>
      </c>
      <c r="AK5" s="18" t="s">
        <v>31</v>
      </c>
      <c r="AL5" s="24">
        <f>V5*$H5*$N5/10^7</f>
        <v>0</v>
      </c>
      <c r="AM5" s="24">
        <f>W5*$H5*$N5/10^7</f>
        <v>0</v>
      </c>
      <c r="AN5" s="24">
        <f>X5*$H5*$N5/10^7</f>
        <v>0</v>
      </c>
      <c r="AO5" s="24">
        <f>Y5*$H5*$N5/10^7</f>
        <v>0</v>
      </c>
      <c r="AP5" s="24">
        <f>Z5*$H5*$N5/10^7</f>
        <v>0</v>
      </c>
      <c r="AQ5" s="24">
        <f>AA5*$H5*$N5/10^7</f>
        <v>0</v>
      </c>
      <c r="AR5" s="24">
        <f>AB5*$H5*$N5/10^7</f>
        <v>0</v>
      </c>
      <c r="AS5" s="24">
        <f>AC5*$H5*$N5/10^7</f>
        <v>0</v>
      </c>
      <c r="AT5" s="24">
        <f>AD5*$H5*$N5/10^7</f>
        <v>0</v>
      </c>
      <c r="AU5" s="24">
        <f>AE5*$H5*$N5/10^7</f>
        <v>0</v>
      </c>
      <c r="AV5" s="24">
        <f>AF5*$H5*$N5/10^7</f>
        <v>0</v>
      </c>
      <c r="AW5" s="24">
        <f>AG5*$H5*$N5/10^7</f>
        <v>0</v>
      </c>
      <c r="AX5" s="24">
        <f>AH5*$H5*$N5/10^7</f>
        <v>0</v>
      </c>
      <c r="AY5" s="24">
        <f>AI5*$H5*$N5/10^7</f>
        <v>0</v>
      </c>
      <c r="AZ5" s="24">
        <f>AJ5*$H5*$N5/10^7</f>
        <v>0</v>
      </c>
      <c r="BA5" s="17" t="s">
        <v>145</v>
      </c>
      <c r="BB5" s="41">
        <v>0</v>
      </c>
      <c r="BC5" s="21">
        <f t="shared" ref="BC5" si="5">AL5+AM5+AO5+AP5+BB5</f>
        <v>0</v>
      </c>
      <c r="BD5" s="21">
        <f t="shared" ref="BD5" si="6">AQ5+AR5+AS5</f>
        <v>0</v>
      </c>
      <c r="BE5" s="21">
        <f t="shared" ref="BE5" si="7">AT5+AU5+AV5</f>
        <v>0</v>
      </c>
      <c r="BF5" s="21">
        <f t="shared" ref="BF5" si="8">AW5+AX5+AY5</f>
        <v>0</v>
      </c>
    </row>
    <row r="6" spans="1:58" x14ac:dyDescent="0.25">
      <c r="A6" s="17" t="s">
        <v>57</v>
      </c>
      <c r="B6" s="17">
        <v>400500</v>
      </c>
      <c r="C6" s="3" t="s">
        <v>147</v>
      </c>
      <c r="D6" s="17" t="s">
        <v>136</v>
      </c>
      <c r="E6" s="17">
        <v>32680</v>
      </c>
      <c r="F6" s="17"/>
      <c r="G6" s="17">
        <v>61.2</v>
      </c>
      <c r="H6" s="40"/>
      <c r="I6" s="17"/>
      <c r="J6" s="21"/>
      <c r="K6" s="22">
        <v>300277</v>
      </c>
      <c r="L6" s="17">
        <v>2000</v>
      </c>
      <c r="M6" s="17">
        <v>6480</v>
      </c>
      <c r="N6" s="23">
        <v>0.95</v>
      </c>
      <c r="O6" s="17" t="s">
        <v>34</v>
      </c>
      <c r="P6" s="17" t="s">
        <v>137</v>
      </c>
      <c r="Q6" s="17">
        <v>36</v>
      </c>
      <c r="R6" s="17">
        <v>274049</v>
      </c>
      <c r="S6" s="20">
        <v>0</v>
      </c>
      <c r="T6" s="19">
        <v>0</v>
      </c>
      <c r="U6" s="17">
        <v>274049</v>
      </c>
      <c r="V6" s="20">
        <v>0</v>
      </c>
      <c r="W6" s="20">
        <v>0</v>
      </c>
      <c r="X6" s="17">
        <v>0</v>
      </c>
      <c r="Y6" s="19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18" t="s">
        <v>31</v>
      </c>
      <c r="AL6" s="24">
        <f>V6*$H6*$N6/10^7</f>
        <v>0</v>
      </c>
      <c r="AM6" s="24">
        <f>W6*$H6*$N6/10^7</f>
        <v>0</v>
      </c>
      <c r="AN6" s="24">
        <f>X6*$H6*$N6/10^7</f>
        <v>0</v>
      </c>
      <c r="AO6" s="24">
        <f>Y6*$H6*$N6/10^7</f>
        <v>0</v>
      </c>
      <c r="AP6" s="24">
        <f>Z6*$H6*$N6/10^7</f>
        <v>0</v>
      </c>
      <c r="AQ6" s="24">
        <f>AA6*$H6*$N6/10^7</f>
        <v>0</v>
      </c>
      <c r="AR6" s="24">
        <f>AB6*$H6*$N6/10^7</f>
        <v>0</v>
      </c>
      <c r="AS6" s="24">
        <f>AC6*$H6*$N6/10^7</f>
        <v>0</v>
      </c>
      <c r="AT6" s="24">
        <f>AD6*$H6*$N6/10^7</f>
        <v>0</v>
      </c>
      <c r="AU6" s="24">
        <f>AE6*$H6*$N6/10^7</f>
        <v>0</v>
      </c>
      <c r="AV6" s="24">
        <f>AF6*$H6*$N6/10^7</f>
        <v>0</v>
      </c>
      <c r="AW6" s="24">
        <f>AG6*$H6*$N6/10^7</f>
        <v>0</v>
      </c>
      <c r="AX6" s="24">
        <f>AH6*$H6*$N6/10^7</f>
        <v>0</v>
      </c>
      <c r="AY6" s="24">
        <f>AI6*$H6*$N6/10^7</f>
        <v>0</v>
      </c>
      <c r="AZ6" s="24">
        <f>AJ6*$H6*$N6/10^7</f>
        <v>0</v>
      </c>
      <c r="BA6" s="17" t="s">
        <v>138</v>
      </c>
      <c r="BB6" s="41">
        <v>0</v>
      </c>
      <c r="BC6" s="21">
        <f t="shared" ref="BC6:BC7" si="9">AL6+AM6+AO6+AP6+BB6</f>
        <v>0</v>
      </c>
      <c r="BD6" s="21">
        <f t="shared" ref="BD6:BD7" si="10">AQ6+AR6+AS6</f>
        <v>0</v>
      </c>
      <c r="BE6" s="21">
        <f t="shared" ref="BE6:BE7" si="11">AT6+AU6+AV6</f>
        <v>0</v>
      </c>
      <c r="BF6" s="21">
        <f t="shared" ref="BF6:BF7" si="12">AW6+AX6+AY6</f>
        <v>0</v>
      </c>
    </row>
    <row r="7" spans="1:58" x14ac:dyDescent="0.25">
      <c r="A7" s="39" t="s">
        <v>127</v>
      </c>
      <c r="B7" s="39">
        <v>401215</v>
      </c>
      <c r="C7" s="25" t="s">
        <v>148</v>
      </c>
      <c r="D7" s="17" t="s">
        <v>128</v>
      </c>
      <c r="E7" s="17">
        <v>6667</v>
      </c>
      <c r="F7" s="17"/>
      <c r="G7" s="17">
        <v>30</v>
      </c>
      <c r="H7" s="40"/>
      <c r="I7" s="42"/>
      <c r="J7" s="21"/>
      <c r="K7" s="22">
        <v>300542</v>
      </c>
      <c r="L7" s="17">
        <v>200</v>
      </c>
      <c r="M7" s="17">
        <v>4800</v>
      </c>
      <c r="N7" s="23">
        <v>0.95</v>
      </c>
      <c r="O7" s="17" t="s">
        <v>34</v>
      </c>
      <c r="P7" s="17" t="s">
        <v>34</v>
      </c>
      <c r="Q7" s="17">
        <v>24</v>
      </c>
      <c r="R7" s="17" t="s">
        <v>130</v>
      </c>
      <c r="S7" s="19">
        <v>6667</v>
      </c>
      <c r="T7" s="17">
        <v>0</v>
      </c>
      <c r="U7" s="17" t="s">
        <v>132</v>
      </c>
      <c r="V7" s="17">
        <v>0</v>
      </c>
      <c r="W7" s="20">
        <v>0</v>
      </c>
      <c r="X7" s="17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6667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18" t="s">
        <v>31</v>
      </c>
      <c r="AL7" s="24">
        <f>V7*$H7*$N7/10^7</f>
        <v>0</v>
      </c>
      <c r="AM7" s="24">
        <f>W7*$H7*$N7/10^7</f>
        <v>0</v>
      </c>
      <c r="AN7" s="24">
        <f>X7*$H7*$N7/10^7</f>
        <v>0</v>
      </c>
      <c r="AO7" s="24">
        <f>Y7*$H7*$N7/10^7</f>
        <v>0</v>
      </c>
      <c r="AP7" s="24">
        <f>Z7*$H7*$N7/10^7</f>
        <v>0</v>
      </c>
      <c r="AQ7" s="24">
        <f>AA7*$H7*$N7/10^7</f>
        <v>0</v>
      </c>
      <c r="AR7" s="24">
        <f>AB7*$H7*$N7/10^7</f>
        <v>0</v>
      </c>
      <c r="AS7" s="24">
        <f>AC7*$H7*$N7/10^7</f>
        <v>0</v>
      </c>
      <c r="AT7" s="24">
        <f>AD7*$H7*$N7/10^7</f>
        <v>0</v>
      </c>
      <c r="AU7" s="24">
        <f>AE7*$H7*$N7/10^7</f>
        <v>0</v>
      </c>
      <c r="AV7" s="24">
        <f>AF7*$H7*$N7/10^7</f>
        <v>0</v>
      </c>
      <c r="AW7" s="24">
        <f>AG7*$H7*$N7/10^7</f>
        <v>0</v>
      </c>
      <c r="AX7" s="24">
        <f>AH7*$H7*$N7/10^7</f>
        <v>0</v>
      </c>
      <c r="AY7" s="24">
        <f>AI7*$H7*$N7/10^7</f>
        <v>0</v>
      </c>
      <c r="AZ7" s="24">
        <f>AJ7*$H7*$N7/10^7</f>
        <v>0</v>
      </c>
      <c r="BA7" s="17" t="s">
        <v>129</v>
      </c>
      <c r="BB7" s="41">
        <v>0</v>
      </c>
      <c r="BC7" s="21">
        <f t="shared" si="9"/>
        <v>0</v>
      </c>
      <c r="BD7" s="21">
        <f t="shared" si="10"/>
        <v>0</v>
      </c>
      <c r="BE7" s="21">
        <f t="shared" si="11"/>
        <v>0</v>
      </c>
      <c r="BF7" s="21">
        <f t="shared" si="12"/>
        <v>0</v>
      </c>
    </row>
  </sheetData>
  <sheetProtection formatCells="0" formatColumns="0" formatRows="0" insertColumns="0" insertRows="0" insertHyperlinks="0" deleteColumns="0" deleteRows="0" sort="0" autoFilter="0" pivotTables="0"/>
  <autoFilter ref="A2:BH7" xr:uid="{00000000-0001-0000-0000-000000000000}"/>
  <conditionalFormatting sqref="I7:Q7 K6 N6 I5:Q5 L2:Q3 R3:S3 U3:V3 X3 Y4:AF4 AK3:AK4 R5:AK7 H3:H7 AL3:AZ7 A4:G5 A1:AZ1 A2:J3 A7:G7">
    <cfRule type="containsBlanks" dxfId="9" priority="1575">
      <formula>LEN(TRIM(A1))=0</formula>
    </cfRule>
  </conditionalFormatting>
  <conditionalFormatting sqref="B6">
    <cfRule type="containsBlanks" dxfId="8" priority="698">
      <formula>LEN(TRIM(B6))=0</formula>
    </cfRule>
  </conditionalFormatting>
  <conditionalFormatting sqref="B8:B1048576">
    <cfRule type="duplicateValues" dxfId="7" priority="6573"/>
  </conditionalFormatting>
  <conditionalFormatting sqref="D8:D1048576 D1:D3">
    <cfRule type="duplicateValues" dxfId="6" priority="6578"/>
  </conditionalFormatting>
  <conditionalFormatting sqref="R2">
    <cfRule type="containsBlanks" dxfId="5" priority="1198">
      <formula>LEN(TRIM(R2))=0</formula>
    </cfRule>
  </conditionalFormatting>
  <conditionalFormatting sqref="S2:BF2">
    <cfRule type="containsBlanks" dxfId="4" priority="1823">
      <formula>LEN(TRIM(S2))=0</formula>
    </cfRule>
  </conditionalFormatting>
  <conditionalFormatting sqref="I4:X4">
    <cfRule type="containsBlanks" dxfId="3" priority="6569">
      <formula>LEN(TRIM(I4))=0</formula>
    </cfRule>
  </conditionalFormatting>
  <conditionalFormatting sqref="BB1:BF1">
    <cfRule type="containsBlanks" dxfId="2" priority="15">
      <formula>LEN(TRIM(BB1))=0</formula>
    </cfRule>
  </conditionalFormatting>
  <conditionalFormatting sqref="B7">
    <cfRule type="duplicateValues" dxfId="1" priority="6630"/>
    <cfRule type="duplicateValues" dxfId="0" priority="6631"/>
  </conditionalFormatting>
  <dataValidations disablePrompts="1" count="1">
    <dataValidation type="list" allowBlank="1" showInputMessage="1" showErrorMessage="1" sqref="AK1" xr:uid="{00000000-0002-0000-0000-000000000000}">
      <formula1>#REF!</formula1>
    </dataValidation>
  </dataValidations>
  <pageMargins left="0.24" right="0.24" top="0.2" bottom="0.2" header="0.3" footer="0.3"/>
  <pageSetup paperSize="8" scale="27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47"/>
  <sheetViews>
    <sheetView workbookViewId="0">
      <selection activeCell="H19" sqref="H19"/>
    </sheetView>
  </sheetViews>
  <sheetFormatPr defaultRowHeight="15" x14ac:dyDescent="0.25"/>
  <cols>
    <col min="1" max="1" width="19.28515625" bestFit="1" customWidth="1"/>
    <col min="2" max="2" width="8.42578125" bestFit="1" customWidth="1"/>
    <col min="3" max="3" width="13.140625" bestFit="1" customWidth="1"/>
    <col min="4" max="4" width="11.42578125" bestFit="1" customWidth="1"/>
    <col min="5" max="5" width="32.42578125" bestFit="1" customWidth="1"/>
    <col min="6" max="6" width="10" bestFit="1" customWidth="1"/>
    <col min="7" max="7" width="25.7109375" customWidth="1"/>
    <col min="8" max="8" width="10.5703125" bestFit="1" customWidth="1"/>
    <col min="9" max="9" width="14.85546875" bestFit="1" customWidth="1"/>
    <col min="10" max="10" width="15.42578125" customWidth="1"/>
  </cols>
  <sheetData>
    <row r="1" spans="1:11" x14ac:dyDescent="0.25">
      <c r="A1" s="8" t="s">
        <v>69</v>
      </c>
      <c r="B1" s="8" t="s">
        <v>79</v>
      </c>
      <c r="C1" s="9" t="s">
        <v>80</v>
      </c>
      <c r="D1" s="10" t="s">
        <v>81</v>
      </c>
      <c r="E1" s="1" t="s">
        <v>50</v>
      </c>
      <c r="F1" s="1" t="s">
        <v>97</v>
      </c>
      <c r="G1" s="1" t="s">
        <v>98</v>
      </c>
      <c r="H1" s="1" t="s">
        <v>99</v>
      </c>
      <c r="I1" s="1" t="s">
        <v>102</v>
      </c>
      <c r="J1" s="1" t="s">
        <v>106</v>
      </c>
    </row>
    <row r="2" spans="1:11" ht="15.75" hidden="1" thickBot="1" x14ac:dyDescent="0.3">
      <c r="A2" s="4" t="s">
        <v>43</v>
      </c>
      <c r="B2" s="5" t="s">
        <v>82</v>
      </c>
      <c r="C2" s="6" t="s">
        <v>83</v>
      </c>
      <c r="D2" s="6" t="s">
        <v>71</v>
      </c>
    </row>
    <row r="3" spans="1:11" ht="15.75" hidden="1" thickBot="1" x14ac:dyDescent="0.3">
      <c r="A3" s="4" t="s">
        <v>44</v>
      </c>
      <c r="B3" s="5" t="s">
        <v>82</v>
      </c>
      <c r="C3" s="6" t="s">
        <v>83</v>
      </c>
      <c r="D3" s="6" t="s">
        <v>71</v>
      </c>
    </row>
    <row r="4" spans="1:11" ht="15.75" hidden="1" thickBot="1" x14ac:dyDescent="0.3">
      <c r="A4" s="4" t="s">
        <v>41</v>
      </c>
      <c r="B4" s="5" t="s">
        <v>82</v>
      </c>
      <c r="C4" s="6" t="s">
        <v>83</v>
      </c>
      <c r="D4" s="6" t="s">
        <v>71</v>
      </c>
    </row>
    <row r="5" spans="1:11" ht="15.75" hidden="1" thickBot="1" x14ac:dyDescent="0.3">
      <c r="A5" s="4" t="s">
        <v>42</v>
      </c>
      <c r="B5" s="5" t="s">
        <v>82</v>
      </c>
      <c r="C5" s="6" t="s">
        <v>84</v>
      </c>
      <c r="D5" s="6" t="s">
        <v>71</v>
      </c>
    </row>
    <row r="6" spans="1:11" ht="105" x14ac:dyDescent="0.25">
      <c r="A6" s="11" t="s">
        <v>70</v>
      </c>
      <c r="B6" s="12" t="s">
        <v>85</v>
      </c>
      <c r="C6" s="13" t="s">
        <v>84</v>
      </c>
      <c r="D6" s="13" t="s">
        <v>71</v>
      </c>
      <c r="E6" s="14" t="s">
        <v>100</v>
      </c>
      <c r="F6" s="14" t="s">
        <v>104</v>
      </c>
      <c r="G6" s="14" t="s">
        <v>103</v>
      </c>
      <c r="H6" s="1">
        <v>2</v>
      </c>
      <c r="I6" s="1" t="s">
        <v>101</v>
      </c>
      <c r="J6" s="14" t="s">
        <v>107</v>
      </c>
      <c r="K6" t="s">
        <v>113</v>
      </c>
    </row>
    <row r="7" spans="1:11" ht="15.75" hidden="1" thickBot="1" x14ac:dyDescent="0.3">
      <c r="A7" s="4" t="s">
        <v>49</v>
      </c>
      <c r="B7" s="5" t="s">
        <v>85</v>
      </c>
      <c r="C7" s="6" t="s">
        <v>84</v>
      </c>
      <c r="D7" s="6" t="s">
        <v>74</v>
      </c>
    </row>
    <row r="8" spans="1:11" ht="15.75" hidden="1" thickBot="1" x14ac:dyDescent="0.3">
      <c r="A8" s="4" t="s">
        <v>67</v>
      </c>
      <c r="B8" s="5" t="s">
        <v>82</v>
      </c>
      <c r="C8" s="6" t="s">
        <v>84</v>
      </c>
      <c r="D8" s="6" t="s">
        <v>73</v>
      </c>
    </row>
    <row r="9" spans="1:11" ht="90" x14ac:dyDescent="0.25">
      <c r="A9" s="11" t="s">
        <v>53</v>
      </c>
      <c r="B9" s="12" t="s">
        <v>82</v>
      </c>
      <c r="C9" s="13" t="s">
        <v>83</v>
      </c>
      <c r="D9" s="13" t="s">
        <v>71</v>
      </c>
      <c r="E9" s="15" t="s">
        <v>108</v>
      </c>
      <c r="F9" s="14" t="s">
        <v>110</v>
      </c>
      <c r="G9" s="1" t="s">
        <v>109</v>
      </c>
      <c r="H9" s="1">
        <v>12</v>
      </c>
      <c r="I9" s="1"/>
      <c r="J9" s="1"/>
      <c r="K9" t="s">
        <v>114</v>
      </c>
    </row>
    <row r="10" spans="1:11" ht="15.75" hidden="1" thickBot="1" x14ac:dyDescent="0.3">
      <c r="A10" s="4" t="s">
        <v>55</v>
      </c>
      <c r="B10" s="5" t="s">
        <v>82</v>
      </c>
      <c r="C10" s="6" t="s">
        <v>83</v>
      </c>
      <c r="D10" s="6" t="s">
        <v>73</v>
      </c>
    </row>
    <row r="11" spans="1:11" ht="15.75" hidden="1" thickBot="1" x14ac:dyDescent="0.3">
      <c r="A11" s="4" t="s">
        <v>86</v>
      </c>
      <c r="B11" s="5" t="s">
        <v>85</v>
      </c>
      <c r="C11" s="6" t="s">
        <v>84</v>
      </c>
      <c r="D11" s="6" t="s">
        <v>73</v>
      </c>
    </row>
    <row r="12" spans="1:11" ht="15.75" hidden="1" thickBot="1" x14ac:dyDescent="0.3">
      <c r="A12" s="4" t="s">
        <v>56</v>
      </c>
      <c r="B12" s="5" t="s">
        <v>85</v>
      </c>
      <c r="C12" s="6" t="s">
        <v>84</v>
      </c>
      <c r="D12" s="6" t="s">
        <v>73</v>
      </c>
    </row>
    <row r="13" spans="1:11" ht="15.75" hidden="1" thickBot="1" x14ac:dyDescent="0.3">
      <c r="A13" s="4" t="s">
        <v>87</v>
      </c>
      <c r="B13" s="5" t="s">
        <v>85</v>
      </c>
      <c r="C13" s="6" t="s">
        <v>87</v>
      </c>
      <c r="D13" s="6" t="s">
        <v>88</v>
      </c>
    </row>
    <row r="14" spans="1:11" ht="15.75" hidden="1" thickBot="1" x14ac:dyDescent="0.3">
      <c r="A14" s="4" t="s">
        <v>37</v>
      </c>
      <c r="B14" s="5" t="s">
        <v>85</v>
      </c>
      <c r="C14" s="6" t="s">
        <v>84</v>
      </c>
      <c r="D14" s="6" t="s">
        <v>71</v>
      </c>
    </row>
    <row r="15" spans="1:11" ht="15.75" hidden="1" thickBot="1" x14ac:dyDescent="0.3">
      <c r="A15" s="4" t="s">
        <v>52</v>
      </c>
      <c r="B15" s="5" t="s">
        <v>82</v>
      </c>
      <c r="C15" s="6" t="s">
        <v>83</v>
      </c>
      <c r="D15" s="6" t="s">
        <v>73</v>
      </c>
    </row>
    <row r="16" spans="1:11" ht="15.75" hidden="1" thickBot="1" x14ac:dyDescent="0.3">
      <c r="A16" s="4" t="s">
        <v>89</v>
      </c>
      <c r="B16" s="5" t="s">
        <v>82</v>
      </c>
      <c r="C16" s="6" t="s">
        <v>84</v>
      </c>
      <c r="D16" s="6" t="s">
        <v>73</v>
      </c>
    </row>
    <row r="17" spans="1:11" ht="15.75" hidden="1" thickBot="1" x14ac:dyDescent="0.3">
      <c r="A17" s="4" t="s">
        <v>45</v>
      </c>
      <c r="B17" s="5" t="s">
        <v>82</v>
      </c>
      <c r="C17" s="6" t="s">
        <v>83</v>
      </c>
      <c r="D17" s="6" t="s">
        <v>71</v>
      </c>
    </row>
    <row r="18" spans="1:11" ht="15.75" hidden="1" thickBot="1" x14ac:dyDescent="0.3">
      <c r="A18" s="4" t="s">
        <v>59</v>
      </c>
      <c r="B18" s="5" t="s">
        <v>82</v>
      </c>
      <c r="C18" s="6" t="s">
        <v>83</v>
      </c>
      <c r="D18" s="6" t="s">
        <v>73</v>
      </c>
    </row>
    <row r="19" spans="1:11" ht="60" x14ac:dyDescent="0.25">
      <c r="A19" s="11" t="s">
        <v>48</v>
      </c>
      <c r="B19" s="12" t="s">
        <v>85</v>
      </c>
      <c r="C19" s="13" t="s">
        <v>84</v>
      </c>
      <c r="D19" s="13" t="s">
        <v>71</v>
      </c>
      <c r="E19" s="14" t="s">
        <v>100</v>
      </c>
      <c r="F19" s="1" t="s">
        <v>68</v>
      </c>
      <c r="G19" s="14" t="s">
        <v>103</v>
      </c>
      <c r="H19" s="1">
        <v>4</v>
      </c>
      <c r="I19" s="1"/>
      <c r="J19" s="16" t="s">
        <v>111</v>
      </c>
      <c r="K19" t="s">
        <v>115</v>
      </c>
    </row>
    <row r="20" spans="1:11" ht="15.75" hidden="1" thickBot="1" x14ac:dyDescent="0.3">
      <c r="A20" s="4" t="s">
        <v>35</v>
      </c>
      <c r="B20" s="5" t="s">
        <v>85</v>
      </c>
      <c r="C20" s="6" t="s">
        <v>83</v>
      </c>
      <c r="D20" s="6" t="s">
        <v>71</v>
      </c>
    </row>
    <row r="21" spans="1:11" ht="15.75" hidden="1" thickBot="1" x14ac:dyDescent="0.3">
      <c r="A21" s="4" t="s">
        <v>72</v>
      </c>
      <c r="B21" s="5" t="s">
        <v>82</v>
      </c>
      <c r="C21" s="6" t="s">
        <v>84</v>
      </c>
      <c r="D21" s="6" t="s">
        <v>73</v>
      </c>
    </row>
    <row r="22" spans="1:11" ht="15.75" hidden="1" thickBot="1" x14ac:dyDescent="0.3">
      <c r="A22" s="4" t="s">
        <v>90</v>
      </c>
      <c r="B22" s="5" t="s">
        <v>85</v>
      </c>
      <c r="C22" s="6" t="s">
        <v>84</v>
      </c>
      <c r="D22" s="6" t="s">
        <v>73</v>
      </c>
    </row>
    <row r="23" spans="1:11" ht="15.75" hidden="1" thickBot="1" x14ac:dyDescent="0.3">
      <c r="A23" s="4" t="s">
        <v>60</v>
      </c>
      <c r="B23" s="5" t="s">
        <v>82</v>
      </c>
      <c r="C23" s="6" t="s">
        <v>83</v>
      </c>
      <c r="D23" s="6" t="s">
        <v>73</v>
      </c>
    </row>
    <row r="24" spans="1:11" ht="15.75" hidden="1" thickBot="1" x14ac:dyDescent="0.3">
      <c r="A24" s="4" t="s">
        <v>61</v>
      </c>
      <c r="B24" s="5" t="s">
        <v>82</v>
      </c>
      <c r="C24" s="6" t="s">
        <v>83</v>
      </c>
      <c r="D24" s="6" t="s">
        <v>73</v>
      </c>
    </row>
    <row r="25" spans="1:11" ht="15.75" hidden="1" thickBot="1" x14ac:dyDescent="0.3">
      <c r="A25" s="4" t="s">
        <v>51</v>
      </c>
      <c r="B25" s="5" t="s">
        <v>85</v>
      </c>
      <c r="C25" s="6" t="s">
        <v>84</v>
      </c>
      <c r="D25" s="6" t="s">
        <v>74</v>
      </c>
    </row>
    <row r="26" spans="1:11" ht="15.75" hidden="1" thickBot="1" x14ac:dyDescent="0.3">
      <c r="A26" s="4" t="s">
        <v>36</v>
      </c>
      <c r="B26" s="5" t="s">
        <v>85</v>
      </c>
      <c r="C26" s="6" t="s">
        <v>84</v>
      </c>
      <c r="D26" s="6" t="s">
        <v>71</v>
      </c>
    </row>
    <row r="27" spans="1:11" ht="15.75" hidden="1" thickBot="1" x14ac:dyDescent="0.3">
      <c r="A27" s="4" t="s">
        <v>62</v>
      </c>
      <c r="B27" s="5" t="s">
        <v>82</v>
      </c>
      <c r="C27" s="6" t="s">
        <v>83</v>
      </c>
      <c r="D27" s="6" t="s">
        <v>73</v>
      </c>
    </row>
    <row r="28" spans="1:11" ht="15.75" hidden="1" thickBot="1" x14ac:dyDescent="0.3">
      <c r="A28" s="4" t="s">
        <v>63</v>
      </c>
      <c r="B28" s="5" t="s">
        <v>82</v>
      </c>
      <c r="C28" s="6" t="s">
        <v>83</v>
      </c>
      <c r="D28" s="6" t="s">
        <v>73</v>
      </c>
    </row>
    <row r="29" spans="1:11" ht="15.75" hidden="1" thickBot="1" x14ac:dyDescent="0.3">
      <c r="A29" s="4" t="s">
        <v>40</v>
      </c>
      <c r="B29" s="5" t="s">
        <v>82</v>
      </c>
      <c r="C29" s="6" t="s">
        <v>83</v>
      </c>
      <c r="D29" s="6" t="s">
        <v>71</v>
      </c>
    </row>
    <row r="30" spans="1:11" ht="15.75" hidden="1" thickBot="1" x14ac:dyDescent="0.3">
      <c r="A30" s="4" t="s">
        <v>33</v>
      </c>
      <c r="B30" s="5" t="s">
        <v>85</v>
      </c>
      <c r="C30" s="6" t="s">
        <v>84</v>
      </c>
      <c r="D30" s="6" t="s">
        <v>71</v>
      </c>
    </row>
    <row r="31" spans="1:11" ht="60" x14ac:dyDescent="0.25">
      <c r="A31" s="11" t="s">
        <v>58</v>
      </c>
      <c r="B31" s="12" t="s">
        <v>85</v>
      </c>
      <c r="C31" s="13" t="s">
        <v>84</v>
      </c>
      <c r="D31" s="13" t="s">
        <v>71</v>
      </c>
      <c r="E31" s="14" t="s">
        <v>105</v>
      </c>
      <c r="F31" s="1" t="s">
        <v>46</v>
      </c>
      <c r="G31" s="14" t="s">
        <v>103</v>
      </c>
      <c r="H31" s="1">
        <v>4</v>
      </c>
      <c r="I31" s="1"/>
      <c r="J31" s="1"/>
      <c r="K31" t="s">
        <v>116</v>
      </c>
    </row>
    <row r="32" spans="1:11" ht="15.75" hidden="1" thickBot="1" x14ac:dyDescent="0.3">
      <c r="A32" s="4" t="s">
        <v>91</v>
      </c>
      <c r="B32" s="5" t="s">
        <v>82</v>
      </c>
      <c r="C32" s="6" t="s">
        <v>83</v>
      </c>
      <c r="D32" s="6" t="s">
        <v>73</v>
      </c>
    </row>
    <row r="33" spans="1:11" ht="15.75" hidden="1" thickBot="1" x14ac:dyDescent="0.3">
      <c r="A33" s="4" t="s">
        <v>38</v>
      </c>
      <c r="B33" s="5" t="s">
        <v>85</v>
      </c>
      <c r="C33" s="6" t="s">
        <v>84</v>
      </c>
      <c r="D33" s="6" t="s">
        <v>71</v>
      </c>
    </row>
    <row r="34" spans="1:11" ht="15.75" hidden="1" thickBot="1" x14ac:dyDescent="0.3">
      <c r="A34" s="4" t="s">
        <v>54</v>
      </c>
      <c r="B34" s="5" t="s">
        <v>82</v>
      </c>
      <c r="C34" s="6" t="s">
        <v>84</v>
      </c>
      <c r="D34" s="6" t="s">
        <v>73</v>
      </c>
    </row>
    <row r="35" spans="1:11" ht="15.75" hidden="1" thickBot="1" x14ac:dyDescent="0.3">
      <c r="A35" s="4" t="s">
        <v>64</v>
      </c>
      <c r="B35" s="5" t="s">
        <v>85</v>
      </c>
      <c r="C35" s="6" t="s">
        <v>84</v>
      </c>
      <c r="D35" s="6" t="s">
        <v>34</v>
      </c>
    </row>
    <row r="36" spans="1:11" ht="15.75" hidden="1" thickBot="1" x14ac:dyDescent="0.3">
      <c r="A36" s="4" t="s">
        <v>57</v>
      </c>
      <c r="B36" s="5" t="s">
        <v>85</v>
      </c>
      <c r="C36" s="6" t="s">
        <v>84</v>
      </c>
      <c r="D36" s="6" t="s">
        <v>74</v>
      </c>
    </row>
    <row r="37" spans="1:11" ht="15.75" hidden="1" thickBot="1" x14ac:dyDescent="0.3">
      <c r="A37" s="4" t="s">
        <v>65</v>
      </c>
      <c r="B37" s="5" t="s">
        <v>82</v>
      </c>
      <c r="C37" s="6" t="s">
        <v>92</v>
      </c>
      <c r="D37" s="6" t="s">
        <v>71</v>
      </c>
    </row>
    <row r="38" spans="1:11" ht="15.75" hidden="1" thickBot="1" x14ac:dyDescent="0.3">
      <c r="A38" s="4" t="s">
        <v>39</v>
      </c>
      <c r="B38" s="5" t="s">
        <v>82</v>
      </c>
      <c r="C38" s="6" t="s">
        <v>84</v>
      </c>
      <c r="D38" s="6" t="s">
        <v>71</v>
      </c>
    </row>
    <row r="39" spans="1:11" ht="15.75" hidden="1" thickBot="1" x14ac:dyDescent="0.3">
      <c r="A39" s="4" t="s">
        <v>93</v>
      </c>
      <c r="B39" s="5" t="s">
        <v>85</v>
      </c>
      <c r="C39" s="6" t="s">
        <v>84</v>
      </c>
      <c r="D39" s="6" t="s">
        <v>73</v>
      </c>
    </row>
    <row r="40" spans="1:11" x14ac:dyDescent="0.25">
      <c r="A40" s="11" t="s">
        <v>66</v>
      </c>
      <c r="B40" s="12" t="s">
        <v>82</v>
      </c>
      <c r="C40" s="13" t="s">
        <v>83</v>
      </c>
      <c r="D40" s="13" t="s">
        <v>71</v>
      </c>
      <c r="E40" s="1" t="s">
        <v>112</v>
      </c>
      <c r="F40" s="1" t="s">
        <v>68</v>
      </c>
      <c r="G40" s="1"/>
      <c r="H40" s="1"/>
      <c r="I40" s="1"/>
      <c r="J40" s="1"/>
      <c r="K40" t="s">
        <v>117</v>
      </c>
    </row>
    <row r="41" spans="1:11" ht="15.75" hidden="1" thickBot="1" x14ac:dyDescent="0.3">
      <c r="A41" s="4" t="s">
        <v>75</v>
      </c>
      <c r="B41" s="5" t="s">
        <v>82</v>
      </c>
      <c r="C41" s="6" t="s">
        <v>83</v>
      </c>
      <c r="D41" s="6" t="s">
        <v>74</v>
      </c>
    </row>
    <row r="42" spans="1:11" ht="15.75" hidden="1" thickBot="1" x14ac:dyDescent="0.3">
      <c r="A42" s="4" t="s">
        <v>76</v>
      </c>
      <c r="B42" s="5" t="s">
        <v>82</v>
      </c>
      <c r="C42" s="6" t="s">
        <v>83</v>
      </c>
      <c r="D42" s="6" t="s">
        <v>73</v>
      </c>
    </row>
    <row r="43" spans="1:11" ht="15.75" hidden="1" thickBot="1" x14ac:dyDescent="0.3">
      <c r="A43" s="4" t="s">
        <v>94</v>
      </c>
      <c r="B43" s="6" t="s">
        <v>95</v>
      </c>
      <c r="C43" s="6" t="s">
        <v>83</v>
      </c>
      <c r="D43" s="6" t="s">
        <v>73</v>
      </c>
    </row>
    <row r="44" spans="1:11" ht="15.75" hidden="1" thickBot="1" x14ac:dyDescent="0.3">
      <c r="A44" s="4" t="s">
        <v>96</v>
      </c>
      <c r="B44" s="6" t="s">
        <v>95</v>
      </c>
      <c r="C44" s="6" t="s">
        <v>84</v>
      </c>
      <c r="D44" s="6" t="s">
        <v>74</v>
      </c>
    </row>
    <row r="45" spans="1:11" ht="15.75" hidden="1" thickBot="1" x14ac:dyDescent="0.3">
      <c r="A45" s="4" t="s">
        <v>77</v>
      </c>
      <c r="B45" s="6" t="s">
        <v>95</v>
      </c>
      <c r="C45" s="6" t="s">
        <v>84</v>
      </c>
      <c r="D45" s="6" t="s">
        <v>73</v>
      </c>
    </row>
    <row r="46" spans="1:11" ht="15.75" hidden="1" thickBot="1" x14ac:dyDescent="0.3">
      <c r="A46" s="4" t="s">
        <v>78</v>
      </c>
      <c r="B46" s="6" t="s">
        <v>95</v>
      </c>
      <c r="C46" s="6" t="s">
        <v>84</v>
      </c>
      <c r="D46" s="6" t="s">
        <v>34</v>
      </c>
    </row>
    <row r="47" spans="1:11" x14ac:dyDescent="0.25">
      <c r="A47" s="7"/>
    </row>
  </sheetData>
  <autoFilter ref="A1:D46" xr:uid="{00000000-0009-0000-0000-000002000000}">
    <filterColumn colId="0">
      <colorFilter dxfId="10"/>
    </filterColumn>
    <filterColumn colId="3">
      <filters>
        <filter val="M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Order Book</vt:lpstr>
      <vt:lpstr>Sheet4</vt:lpstr>
      <vt:lpstr>'Order Book'!Print_Area</vt:lpstr>
      <vt:lpstr>'Order Book'!Print_Titles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Angalakuduti</dc:creator>
  <cp:lastModifiedBy>Himanshu Tiwari</cp:lastModifiedBy>
  <dcterms:created xsi:type="dcterms:W3CDTF">2021-07-20T10:21:00Z</dcterms:created>
  <dcterms:modified xsi:type="dcterms:W3CDTF">2023-04-28T12:47:00Z</dcterms:modified>
</cp:coreProperties>
</file>