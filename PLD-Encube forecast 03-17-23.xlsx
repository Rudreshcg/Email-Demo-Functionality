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shu.t\Desktop\Forecast Mapping\Forecast samples RAMA\"/>
    </mc:Choice>
  </mc:AlternateContent>
  <xr:revisionPtr revIDLastSave="0" documentId="13_ncr:1_{94BC0D88-77E9-480E-A1C1-5CECF6B4F4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cube" sheetId="1" r:id="rId1"/>
  </sheets>
  <definedNames>
    <definedName name="_xlnm._FilterDatabase" localSheetId="0" hidden="1">Encube!$A$2:$AL$2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" l="1"/>
  <c r="T5" i="1"/>
  <c r="S5" i="1"/>
  <c r="Q5" i="1"/>
  <c r="P5" i="1"/>
  <c r="O5" i="1"/>
  <c r="N5" i="1"/>
  <c r="U5" i="1"/>
  <c r="R5" i="1"/>
  <c r="AL4" i="1"/>
  <c r="AK4" i="1"/>
  <c r="AJ4" i="1"/>
  <c r="AI4" i="1"/>
  <c r="AH4" i="1"/>
  <c r="AG4" i="1"/>
  <c r="AF4" i="1"/>
  <c r="AE4" i="1"/>
  <c r="AD4" i="1"/>
  <c r="AC4" i="1"/>
  <c r="AB4" i="1"/>
  <c r="Y4" i="1"/>
  <c r="AA4" i="1"/>
  <c r="W4" i="1"/>
  <c r="AL3" i="1"/>
  <c r="AK3" i="1"/>
  <c r="AJ3" i="1"/>
  <c r="AI3" i="1"/>
  <c r="AH3" i="1"/>
  <c r="AG3" i="1"/>
  <c r="AF3" i="1"/>
  <c r="AE3" i="1"/>
  <c r="AD3" i="1"/>
  <c r="AB3" i="1"/>
  <c r="AA3" i="1"/>
  <c r="AC3" i="1"/>
  <c r="Z3" i="1"/>
  <c r="Y3" i="1"/>
  <c r="L5" i="1"/>
  <c r="K5" i="1"/>
  <c r="AJ5" i="1" l="1"/>
  <c r="AK5" i="1"/>
  <c r="AF5" i="1"/>
  <c r="AG5" i="1"/>
  <c r="AL5" i="1"/>
  <c r="AE5" i="1"/>
  <c r="AI5" i="1"/>
  <c r="AD5" i="1"/>
  <c r="Y5" i="1"/>
  <c r="AC5" i="1"/>
  <c r="AA5" i="1"/>
  <c r="AB5" i="1"/>
  <c r="W3" i="1"/>
  <c r="AH5" i="1"/>
  <c r="I5" i="1"/>
  <c r="M5" i="1"/>
  <c r="Z4" i="1"/>
  <c r="J5" i="1"/>
  <c r="W5" i="1" s="1"/>
  <c r="Z5" i="1" l="1"/>
</calcChain>
</file>

<file path=xl/sharedStrings.xml><?xml version="1.0" encoding="utf-8"?>
<sst xmlns="http://schemas.openxmlformats.org/spreadsheetml/2006/main" count="33" uniqueCount="18">
  <si>
    <t>OPEN PURCHASE ORDERS</t>
  </si>
  <si>
    <t>FORECAST</t>
  </si>
  <si>
    <t>Bulk (Kgs)</t>
  </si>
  <si>
    <t>Supplier Part #</t>
  </si>
  <si>
    <t>Item Number</t>
  </si>
  <si>
    <t>Commodity</t>
  </si>
  <si>
    <t>Item Description</t>
  </si>
  <si>
    <t>Source Vendor Name</t>
  </si>
  <si>
    <t>Pack Size</t>
  </si>
  <si>
    <t>Bulk Code</t>
  </si>
  <si>
    <t>Min Batch</t>
  </si>
  <si>
    <t>Past Due</t>
  </si>
  <si>
    <t>Totals</t>
  </si>
  <si>
    <t>ENCUBE ETHICALS PVT LTD</t>
  </si>
  <si>
    <t>FG004493</t>
  </si>
  <si>
    <t>FG004499</t>
  </si>
  <si>
    <t>WLG - 2</t>
  </si>
  <si>
    <t>WLG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</si>
</sst>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[$-409]mmmm\-yy;@"/>
    <numFmt numFmtId="167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/>
  </cellStyleXfs>
  <cellXfs count="29">
    <xf numFmtId="0" fontId="0" fillId="0" borderId="0" xfId="0"/>
    <xf numFmtId="0" fontId="3" fillId="0" borderId="0" xfId="0" applyFont="1"/>
    <xf numFmtId="165" fontId="3" fillId="0" borderId="0" xfId="1" applyNumberFormat="1" applyFont="1"/>
    <xf numFmtId="0" fontId="4" fillId="3" borderId="0" xfId="0" applyFont="1" applyFill="1"/>
    <xf numFmtId="0" fontId="4" fillId="3" borderId="1" xfId="0" applyFont="1" applyFill="1" applyBorder="1"/>
    <xf numFmtId="0" fontId="4" fillId="4" borderId="1" xfId="0" applyFont="1" applyFill="1" applyBorder="1" applyAlignment="1">
      <alignment horizontal="center"/>
    </xf>
    <xf numFmtId="0" fontId="0" fillId="0" borderId="2" xfId="0" applyBorder="1"/>
    <xf numFmtId="0" fontId="5" fillId="5" borderId="2" xfId="0" applyFont="1" applyFill="1" applyBorder="1" applyAlignment="1">
      <alignment horizontal="left" vertical="top" wrapText="1"/>
    </xf>
    <xf numFmtId="165" fontId="5" fillId="5" borderId="3" xfId="1" applyNumberFormat="1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166" fontId="5" fillId="5" borderId="4" xfId="1" applyNumberFormat="1" applyFont="1" applyFill="1" applyBorder="1" applyAlignment="1">
      <alignment horizontal="center" vertical="top" wrapText="1"/>
    </xf>
    <xf numFmtId="166" fontId="5" fillId="5" borderId="0" xfId="1" applyNumberFormat="1" applyFont="1" applyFill="1" applyBorder="1" applyAlignment="1">
      <alignment horizontal="left" vertical="top" wrapText="1"/>
    </xf>
    <xf numFmtId="166" fontId="5" fillId="6" borderId="0" xfId="1" applyNumberFormat="1" applyFont="1" applyFill="1" applyBorder="1" applyAlignment="1">
      <alignment horizontal="left" vertical="top" wrapText="1"/>
    </xf>
    <xf numFmtId="166" fontId="5" fillId="5" borderId="2" xfId="1" applyNumberFormat="1" applyFont="1" applyFill="1" applyBorder="1" applyAlignment="1">
      <alignment horizontal="center" vertical="top" wrapText="1"/>
    </xf>
    <xf numFmtId="0" fontId="7" fillId="0" borderId="2" xfId="2" applyFont="1" applyBorder="1" applyAlignment="1">
      <alignment horizontal="left" vertical="center"/>
    </xf>
    <xf numFmtId="0" fontId="3" fillId="7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167" fontId="3" fillId="7" borderId="2" xfId="1" applyNumberFormat="1" applyFont="1" applyFill="1" applyBorder="1"/>
    <xf numFmtId="0" fontId="3" fillId="7" borderId="2" xfId="1" applyNumberFormat="1" applyFont="1" applyFill="1" applyBorder="1" applyAlignment="1">
      <alignment horizontal="right"/>
    </xf>
    <xf numFmtId="165" fontId="7" fillId="0" borderId="2" xfId="1" applyNumberFormat="1" applyFont="1" applyBorder="1" applyAlignment="1">
      <alignment horizontal="right" vertical="top"/>
    </xf>
    <xf numFmtId="165" fontId="7" fillId="8" borderId="2" xfId="1" applyNumberFormat="1" applyFont="1" applyFill="1" applyBorder="1" applyAlignment="1">
      <alignment horizontal="right" vertical="top"/>
    </xf>
    <xf numFmtId="165" fontId="2" fillId="0" borderId="5" xfId="1" applyNumberFormat="1" applyFont="1" applyBorder="1"/>
    <xf numFmtId="165" fontId="2" fillId="4" borderId="0" xfId="1" applyNumberFormat="1" applyFont="1" applyFill="1" applyBorder="1"/>
    <xf numFmtId="164" fontId="0" fillId="0" borderId="2" xfId="1" applyFont="1" applyBorder="1"/>
    <xf numFmtId="165" fontId="4" fillId="7" borderId="6" xfId="1" applyNumberFormat="1" applyFont="1" applyFill="1" applyBorder="1" applyAlignment="1">
      <alignment horizontal="right" vertical="top"/>
    </xf>
    <xf numFmtId="165" fontId="4" fillId="4" borderId="6" xfId="1" applyNumberFormat="1" applyFont="1" applyFill="1" applyBorder="1" applyAlignment="1">
      <alignment horizontal="right" vertical="top"/>
    </xf>
    <xf numFmtId="164" fontId="4" fillId="7" borderId="6" xfId="1" applyFont="1" applyFill="1" applyBorder="1" applyAlignment="1">
      <alignment horizontal="right" vertical="top"/>
    </xf>
    <xf numFmtId="49" fontId="3" fillId="0" borderId="2" xfId="1" applyNumberFormat="1" applyFont="1" applyFill="1" applyBorder="1" applyAlignment="1">
      <alignment horizontal="right"/>
    </xf>
    <xf numFmtId="0" fontId="4" fillId="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Normal 11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"/>
  <sheetViews>
    <sheetView tabSelected="1" zoomScale="80" zoomScaleNormal="80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D2" sqref="D2"/>
    </sheetView>
  </sheetViews>
  <sheetFormatPr defaultRowHeight="15" x14ac:dyDescent="0.25"/>
  <cols>
    <col min="1" max="1" width="13.28515625" bestFit="1" customWidth="1"/>
    <col min="2" max="2" width="14" customWidth="1"/>
    <col min="3" max="3" width="34" hidden="1" customWidth="1"/>
    <col min="4" max="4" width="59.140625" customWidth="1"/>
    <col min="5" max="5" width="22.7109375" hidden="1" customWidth="1"/>
    <col min="6" max="6" width="11.7109375" customWidth="1"/>
    <col min="7" max="7" width="17" customWidth="1"/>
    <col min="8" max="8" width="12.85546875" customWidth="1"/>
    <col min="9" max="9" width="12.140625" customWidth="1"/>
    <col min="10" max="10" width="13.28515625" customWidth="1"/>
    <col min="11" max="11" width="17" customWidth="1"/>
    <col min="12" max="13" width="13.28515625" customWidth="1"/>
    <col min="14" max="22" width="14.85546875" customWidth="1"/>
    <col min="23" max="23" width="14.85546875" hidden="1" customWidth="1"/>
    <col min="24" max="24" width="4" hidden="1" customWidth="1"/>
    <col min="25" max="25" width="10.7109375" hidden="1" customWidth="1"/>
    <col min="26" max="27" width="13.140625" hidden="1" customWidth="1"/>
    <col min="28" max="28" width="12.85546875" hidden="1" customWidth="1"/>
    <col min="29" max="32" width="13.140625" hidden="1" customWidth="1"/>
    <col min="33" max="33" width="13.5703125" hidden="1" customWidth="1"/>
    <col min="34" max="34" width="12.85546875" hidden="1" customWidth="1"/>
    <col min="35" max="35" width="15.28515625" hidden="1" customWidth="1"/>
    <col min="36" max="36" width="13.7109375" hidden="1" customWidth="1"/>
    <col min="37" max="37" width="13.140625" hidden="1" customWidth="1"/>
    <col min="38" max="38" width="12.7109375" hidden="1" customWidth="1"/>
  </cols>
  <sheetData>
    <row r="1" spans="1:38" x14ac:dyDescent="0.25">
      <c r="D1" s="1"/>
      <c r="E1" s="1"/>
      <c r="F1" s="2"/>
      <c r="G1" s="2"/>
      <c r="H1" s="2"/>
      <c r="I1" s="28" t="s">
        <v>0</v>
      </c>
      <c r="J1" s="28"/>
      <c r="K1" s="28"/>
      <c r="L1" s="28"/>
      <c r="M1" s="28"/>
      <c r="N1" s="28"/>
      <c r="O1" s="3" t="s">
        <v>1</v>
      </c>
      <c r="P1" s="3"/>
      <c r="Q1" s="3"/>
      <c r="R1" s="3"/>
      <c r="S1" s="3"/>
      <c r="T1" s="3"/>
      <c r="U1" s="3"/>
      <c r="V1" s="3"/>
      <c r="W1" s="4"/>
      <c r="X1" s="5"/>
      <c r="Y1" s="6" t="s">
        <v>2</v>
      </c>
      <c r="Z1" s="6" t="s">
        <v>2</v>
      </c>
      <c r="AA1" s="6" t="s">
        <v>2</v>
      </c>
      <c r="AB1" s="6" t="s">
        <v>2</v>
      </c>
      <c r="AC1" s="6" t="s">
        <v>2</v>
      </c>
      <c r="AD1" s="6" t="s">
        <v>2</v>
      </c>
      <c r="AE1" s="6" t="s">
        <v>2</v>
      </c>
      <c r="AF1" s="6" t="s">
        <v>2</v>
      </c>
      <c r="AG1" s="6" t="s">
        <v>2</v>
      </c>
      <c r="AH1" s="6" t="s">
        <v>2</v>
      </c>
      <c r="AI1" s="6" t="s">
        <v>2</v>
      </c>
      <c r="AJ1" s="6" t="s">
        <v>2</v>
      </c>
      <c r="AK1" s="6" t="s">
        <v>2</v>
      </c>
      <c r="AL1" s="6" t="s">
        <v>2</v>
      </c>
    </row>
    <row r="2" spans="1:38" ht="36" customHeight="1" thickBot="1" x14ac:dyDescent="0.3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8" t="s">
        <v>8</v>
      </c>
      <c r="G2" s="8" t="s">
        <v>9</v>
      </c>
      <c r="H2" s="8" t="s">
        <v>10</v>
      </c>
      <c r="I2" s="9" t="s">
        <v>11</v>
      </c>
      <c r="J2" s="10">
        <v>44986</v>
      </c>
      <c r="K2" s="10">
        <v>45017</v>
      </c>
      <c r="L2" s="10">
        <v>45047</v>
      </c>
      <c r="M2" s="10">
        <v>45078</v>
      </c>
      <c r="N2" s="10">
        <v>45108</v>
      </c>
      <c r="O2" s="10">
        <v>45139</v>
      </c>
      <c r="P2" s="10">
        <v>45170</v>
      </c>
      <c r="Q2" s="10">
        <v>45200</v>
      </c>
      <c r="R2" s="10">
        <v>45231</v>
      </c>
      <c r="S2" s="10">
        <v>45261</v>
      </c>
      <c r="T2" s="10">
        <v>45292</v>
      </c>
      <c r="U2" s="10">
        <v>45323</v>
      </c>
      <c r="V2" s="10">
        <v>45352</v>
      </c>
      <c r="W2" s="11" t="s">
        <v>12</v>
      </c>
      <c r="X2" s="12"/>
      <c r="Y2" s="7" t="s">
        <v>11</v>
      </c>
      <c r="Z2" s="13">
        <v>44986</v>
      </c>
      <c r="AA2" s="13">
        <v>45017</v>
      </c>
      <c r="AB2" s="13">
        <v>45047</v>
      </c>
      <c r="AC2" s="13">
        <v>45078</v>
      </c>
      <c r="AD2" s="13">
        <v>45108</v>
      </c>
      <c r="AE2" s="13">
        <v>45139</v>
      </c>
      <c r="AF2" s="13">
        <v>45170</v>
      </c>
      <c r="AG2" s="13">
        <v>45200</v>
      </c>
      <c r="AH2" s="13">
        <v>45231</v>
      </c>
      <c r="AI2" s="13">
        <v>45261</v>
      </c>
      <c r="AJ2" s="13">
        <v>45292</v>
      </c>
      <c r="AK2" s="13">
        <v>45323</v>
      </c>
      <c r="AL2" s="13">
        <v>45352</v>
      </c>
    </row>
    <row r="3" spans="1:38" ht="15.75" thickBot="1" x14ac:dyDescent="0.3">
      <c r="A3" s="14">
        <v>401168</v>
      </c>
      <c r="B3" s="14" t="s">
        <v>14</v>
      </c>
      <c r="C3" s="14"/>
      <c r="D3" s="15" t="s">
        <v>17</v>
      </c>
      <c r="E3" s="16" t="s">
        <v>13</v>
      </c>
      <c r="F3" s="17">
        <v>45.5</v>
      </c>
      <c r="G3" s="27">
        <v>300482</v>
      </c>
      <c r="H3" s="18">
        <v>2000</v>
      </c>
      <c r="I3" s="19">
        <v>0</v>
      </c>
      <c r="J3" s="19">
        <v>0</v>
      </c>
      <c r="K3" s="19">
        <v>0</v>
      </c>
      <c r="L3" s="19">
        <v>24080</v>
      </c>
      <c r="M3" s="19">
        <v>0</v>
      </c>
      <c r="N3" s="19">
        <v>15000</v>
      </c>
      <c r="O3" s="20">
        <v>0</v>
      </c>
      <c r="P3" s="20">
        <v>0</v>
      </c>
      <c r="Q3" s="20">
        <v>15000</v>
      </c>
      <c r="R3" s="20">
        <v>0</v>
      </c>
      <c r="S3" s="20">
        <v>16000</v>
      </c>
      <c r="T3" s="20">
        <v>0</v>
      </c>
      <c r="U3" s="20">
        <v>20000</v>
      </c>
      <c r="V3" s="20">
        <v>16000</v>
      </c>
      <c r="W3" s="21">
        <f ca="1">SUM(OFFSET(B3, 0, 8):OFFSET(B3, 0, 20))</f>
        <v>106080</v>
      </c>
      <c r="X3" s="22"/>
      <c r="Y3" s="6">
        <f t="shared" ref="Y3:Y4" si="0">IFERROR(I3*$F3/1000,"")</f>
        <v>0</v>
      </c>
      <c r="Z3" s="23">
        <f t="shared" ref="Z3:Z4" si="1">IFERROR(J3*$F3/1000,"")</f>
        <v>0</v>
      </c>
      <c r="AA3" s="23">
        <f t="shared" ref="AA3:AA4" si="2">IFERROR(K3*$F3/1000,"")</f>
        <v>0</v>
      </c>
      <c r="AB3" s="23">
        <f t="shared" ref="AB3:AB4" si="3">IFERROR(L3*$F3/1000,"")</f>
        <v>1095.6400000000001</v>
      </c>
      <c r="AC3" s="23">
        <f t="shared" ref="AC3:AC4" si="4">IFERROR(M3*$F3/1000,"")</f>
        <v>0</v>
      </c>
      <c r="AD3" s="23">
        <f t="shared" ref="AD3:AD4" si="5">IFERROR(N3*$F3/1000,"")</f>
        <v>682.5</v>
      </c>
      <c r="AE3" s="23">
        <f t="shared" ref="AE3:AE4" si="6">IFERROR(O3*$F3/1000,"")</f>
        <v>0</v>
      </c>
      <c r="AF3" s="23">
        <f t="shared" ref="AF3:AF4" si="7">IFERROR(P3*$F3/1000,"")</f>
        <v>0</v>
      </c>
      <c r="AG3" s="23">
        <f t="shared" ref="AG3:AG4" si="8">IFERROR(Q3*$F3/1000,"")</f>
        <v>682.5</v>
      </c>
      <c r="AH3" s="23">
        <f t="shared" ref="AH3:AH4" si="9">IFERROR(R3*$F3/1000,"")</f>
        <v>0</v>
      </c>
      <c r="AI3" s="23">
        <f t="shared" ref="AI3:AI4" si="10">IFERROR(S3*$F3/1000,"")</f>
        <v>728</v>
      </c>
      <c r="AJ3" s="23">
        <f t="shared" ref="AJ3:AJ4" si="11">IFERROR(T3*$F3/1000,"")</f>
        <v>0</v>
      </c>
      <c r="AK3" s="23">
        <f t="shared" ref="AK3:AK4" si="12">IFERROR(U3*$F3/1000,"")</f>
        <v>910</v>
      </c>
      <c r="AL3" s="23">
        <f t="shared" ref="AL3:AL4" si="13">IFERROR(V3*$F3/1000,"")</f>
        <v>728</v>
      </c>
    </row>
    <row r="4" spans="1:38" ht="15.75" thickBot="1" x14ac:dyDescent="0.3">
      <c r="A4" s="14">
        <v>401171</v>
      </c>
      <c r="B4" s="14" t="s">
        <v>15</v>
      </c>
      <c r="C4" s="14"/>
      <c r="D4" s="15" t="s">
        <v>16</v>
      </c>
      <c r="E4" s="16" t="s">
        <v>13</v>
      </c>
      <c r="F4" s="17">
        <v>45.5</v>
      </c>
      <c r="G4" s="27">
        <v>300483</v>
      </c>
      <c r="H4" s="18">
        <v>2000</v>
      </c>
      <c r="I4" s="19">
        <v>0</v>
      </c>
      <c r="J4" s="19">
        <v>0</v>
      </c>
      <c r="K4" s="19">
        <v>0</v>
      </c>
      <c r="L4" s="19">
        <v>8774</v>
      </c>
      <c r="M4" s="19">
        <v>0</v>
      </c>
      <c r="N4" s="19">
        <v>0</v>
      </c>
      <c r="O4" s="20">
        <v>0</v>
      </c>
      <c r="P4" s="20">
        <v>0</v>
      </c>
      <c r="Q4" s="20">
        <v>0</v>
      </c>
      <c r="R4" s="20">
        <v>0</v>
      </c>
      <c r="S4" s="20">
        <v>30766</v>
      </c>
      <c r="T4" s="20">
        <v>0</v>
      </c>
      <c r="U4" s="20">
        <v>0</v>
      </c>
      <c r="V4" s="20">
        <v>30766</v>
      </c>
      <c r="W4" s="21">
        <f ca="1">SUM(OFFSET(B4, 0, 8):OFFSET(B4, 0, 20))</f>
        <v>70306</v>
      </c>
      <c r="X4" s="22"/>
      <c r="Y4" s="6">
        <f t="shared" si="0"/>
        <v>0</v>
      </c>
      <c r="Z4" s="23">
        <f t="shared" si="1"/>
        <v>0</v>
      </c>
      <c r="AA4" s="23">
        <f t="shared" si="2"/>
        <v>0</v>
      </c>
      <c r="AB4" s="23">
        <f t="shared" si="3"/>
        <v>399.21699999999998</v>
      </c>
      <c r="AC4" s="23">
        <f t="shared" si="4"/>
        <v>0</v>
      </c>
      <c r="AD4" s="23">
        <f t="shared" si="5"/>
        <v>0</v>
      </c>
      <c r="AE4" s="23">
        <f t="shared" si="6"/>
        <v>0</v>
      </c>
      <c r="AF4" s="23">
        <f t="shared" si="7"/>
        <v>0</v>
      </c>
      <c r="AG4" s="23">
        <f t="shared" si="8"/>
        <v>0</v>
      </c>
      <c r="AH4" s="23">
        <f t="shared" si="9"/>
        <v>0</v>
      </c>
      <c r="AI4" s="23">
        <f t="shared" si="10"/>
        <v>1399.8530000000001</v>
      </c>
      <c r="AJ4" s="23">
        <f t="shared" si="11"/>
        <v>0</v>
      </c>
      <c r="AK4" s="23">
        <f t="shared" si="12"/>
        <v>0</v>
      </c>
      <c r="AL4" s="23">
        <f t="shared" si="13"/>
        <v>1399.8530000000001</v>
      </c>
    </row>
    <row r="5" spans="1:38" ht="15.75" thickBot="1" x14ac:dyDescent="0.3">
      <c r="I5" s="24">
        <f>SUM(I3:I4)</f>
        <v>0</v>
      </c>
      <c r="J5" s="24">
        <f>SUM(J3:J4)</f>
        <v>0</v>
      </c>
      <c r="K5" s="24">
        <f>SUM(K3:K4)</f>
        <v>0</v>
      </c>
      <c r="L5" s="24">
        <f>SUM(L3:L4)</f>
        <v>32854</v>
      </c>
      <c r="M5" s="24">
        <f>SUM(M3:M4)</f>
        <v>0</v>
      </c>
      <c r="N5" s="24">
        <f>SUM(N3:N4)</f>
        <v>15000</v>
      </c>
      <c r="O5" s="24">
        <f>SUM(O3:O4)</f>
        <v>0</v>
      </c>
      <c r="P5" s="24">
        <f>SUM(P3:P4)</f>
        <v>0</v>
      </c>
      <c r="Q5" s="24">
        <f>SUM(Q3:Q4)</f>
        <v>15000</v>
      </c>
      <c r="R5" s="24">
        <f>SUM(R3:R4)</f>
        <v>0</v>
      </c>
      <c r="S5" s="24">
        <f>SUM(S3:S4)</f>
        <v>46766</v>
      </c>
      <c r="T5" s="24">
        <f>SUM(T3:T4)</f>
        <v>0</v>
      </c>
      <c r="U5" s="24">
        <f>SUM(U3:U4)</f>
        <v>20000</v>
      </c>
      <c r="V5" s="24">
        <f>SUM(V3:V4)</f>
        <v>46766</v>
      </c>
      <c r="W5" s="21">
        <f ca="1">SUM(OFFSET(B5, 0, 8):OFFSET(B5, 0, 20))</f>
        <v>176386</v>
      </c>
      <c r="X5" s="25"/>
      <c r="Y5" s="26">
        <f>SUM(Y3:Y4)</f>
        <v>0</v>
      </c>
      <c r="Z5" s="26">
        <f>SUM(Z3:Z4)</f>
        <v>0</v>
      </c>
      <c r="AA5" s="26">
        <f>SUM(AA3:AA4)</f>
        <v>0</v>
      </c>
      <c r="AB5" s="26">
        <f>SUM(AB3:AB4)</f>
        <v>1494.857</v>
      </c>
      <c r="AC5" s="26">
        <f>SUM(AC3:AC4)</f>
        <v>0</v>
      </c>
      <c r="AD5" s="26">
        <f>SUM(AD3:AD4)</f>
        <v>682.5</v>
      </c>
      <c r="AE5" s="26">
        <f>SUM(AE3:AE4)</f>
        <v>0</v>
      </c>
      <c r="AF5" s="26">
        <f>SUM(AF3:AF4)</f>
        <v>0</v>
      </c>
      <c r="AG5" s="26">
        <f>SUM(AG3:AG4)</f>
        <v>682.5</v>
      </c>
      <c r="AH5" s="26">
        <f>SUM(AH3:AH4)</f>
        <v>0</v>
      </c>
      <c r="AI5" s="26">
        <f>SUM(AI3:AI4)</f>
        <v>2127.8530000000001</v>
      </c>
      <c r="AJ5" s="26">
        <f>SUM(AJ3:AJ4)</f>
        <v>0</v>
      </c>
      <c r="AK5" s="26">
        <f>SUM(AK3:AK4)</f>
        <v>910</v>
      </c>
      <c r="AL5" s="26">
        <f>SUM(AL3:AL4)</f>
        <v>2127.8530000000001</v>
      </c>
    </row>
  </sheetData>
  <autoFilter ref="A2:AL2" xr:uid="{00000000-0001-0000-0000-000000000000}"/>
  <mergeCells count="1">
    <mergeCell ref="I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Encube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Benish</dc:creator>
  <cp:lastModifiedBy>Himanshu Tiwari</cp:lastModifiedBy>
  <dcterms:created xsi:type="dcterms:W3CDTF">2023-03-17T17:56:39Z</dcterms:created>
  <dcterms:modified xsi:type="dcterms:W3CDTF">2023-04-28T12:35:08Z</dcterms:modified>
</cp:coreProperties>
</file>